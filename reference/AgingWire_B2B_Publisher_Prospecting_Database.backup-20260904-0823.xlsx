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eaganmorris/Downloads/"/>
    </mc:Choice>
  </mc:AlternateContent>
  <xr:revisionPtr revIDLastSave="0" documentId="13_ncr:1_{6A45BEE7-9BB3-A042-B561-2FF425322B8E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Publisher Database" sheetId="1" r:id="rId1"/>
    <sheet name="Priority Targets" sheetId="2" r:id="rId2"/>
    <sheet name="Category Summary" sheetId="3" r:id="rId3"/>
    <sheet name="Scoring Guid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1" l="1"/>
  <c r="Q52" i="1" s="1"/>
  <c r="P53" i="1"/>
  <c r="Q53" i="1" s="1"/>
  <c r="P73" i="1"/>
  <c r="Q73" i="1" s="1"/>
  <c r="P75" i="1"/>
  <c r="Q75" i="1" s="1"/>
  <c r="P74" i="1"/>
  <c r="Q74" i="1" s="1"/>
  <c r="P42" i="1"/>
  <c r="Q42" i="1" s="1"/>
  <c r="P43" i="1"/>
  <c r="Q43" i="1" s="1"/>
  <c r="P44" i="1"/>
  <c r="Q44" i="1" s="1"/>
  <c r="P49" i="1"/>
  <c r="Q49" i="1" s="1"/>
  <c r="P50" i="1"/>
  <c r="Q50" i="1" s="1"/>
  <c r="P2" i="1"/>
  <c r="Q2" i="1" s="1"/>
  <c r="P58" i="1"/>
  <c r="Q58" i="1" s="1"/>
  <c r="P25" i="1"/>
  <c r="Q25" i="1" s="1"/>
  <c r="P24" i="1"/>
  <c r="Q24" i="1" s="1"/>
  <c r="P67" i="1"/>
  <c r="Q67" i="1" s="1"/>
  <c r="P60" i="1"/>
  <c r="Q60" i="1" s="1"/>
  <c r="P64" i="1"/>
  <c r="Q64" i="1" s="1"/>
  <c r="P66" i="1"/>
  <c r="Q66" i="1" s="1"/>
  <c r="P68" i="1"/>
  <c r="Q68" i="1" s="1"/>
  <c r="P36" i="1"/>
  <c r="Q36" i="1" s="1"/>
  <c r="P35" i="1"/>
  <c r="Q35" i="1" s="1"/>
  <c r="P13" i="1"/>
  <c r="Q13" i="1" s="1"/>
  <c r="P18" i="1"/>
  <c r="Q18" i="1" s="1"/>
  <c r="P48" i="1"/>
  <c r="Q48" i="1" s="1"/>
  <c r="P45" i="1"/>
  <c r="Q45" i="1" s="1"/>
  <c r="P76" i="1"/>
  <c r="Q76" i="1" s="1"/>
  <c r="P23" i="1"/>
  <c r="Q23" i="1" s="1"/>
  <c r="P22" i="1"/>
  <c r="Q22" i="1" s="1"/>
  <c r="P21" i="1"/>
  <c r="Q21" i="1" s="1"/>
  <c r="P55" i="1"/>
  <c r="Q55" i="1" s="1"/>
  <c r="P57" i="1"/>
  <c r="Q57" i="1" s="1"/>
  <c r="P56" i="1"/>
  <c r="Q56" i="1" s="1"/>
  <c r="P17" i="1"/>
  <c r="Q17" i="1" s="1"/>
  <c r="P54" i="1"/>
  <c r="Q54" i="1" s="1"/>
  <c r="P19" i="1"/>
  <c r="Q19" i="1" s="1"/>
  <c r="P26" i="1"/>
  <c r="Q26" i="1" s="1"/>
  <c r="P34" i="1"/>
  <c r="Q34" i="1" s="1"/>
  <c r="P33" i="1"/>
  <c r="Q33" i="1" s="1"/>
  <c r="P32" i="1"/>
  <c r="Q32" i="1" s="1"/>
  <c r="P31" i="1"/>
  <c r="Q31" i="1" s="1"/>
  <c r="P29" i="1"/>
  <c r="Q29" i="1" s="1"/>
  <c r="P28" i="1"/>
  <c r="Q28" i="1" s="1"/>
  <c r="P27" i="1"/>
  <c r="Q27" i="1" s="1"/>
  <c r="P20" i="1"/>
  <c r="Q20" i="1" s="1"/>
  <c r="P30" i="1"/>
  <c r="Q30" i="1" s="1"/>
  <c r="P65" i="1"/>
  <c r="Q65" i="1" s="1"/>
  <c r="P61" i="1"/>
  <c r="Q61" i="1" s="1"/>
  <c r="P63" i="1"/>
  <c r="Q63" i="1" s="1"/>
  <c r="P11" i="1"/>
  <c r="Q11" i="1" s="1"/>
  <c r="P9" i="1"/>
  <c r="Q9" i="1" s="1"/>
  <c r="P4" i="1"/>
  <c r="Q4" i="1" s="1"/>
  <c r="P8" i="1"/>
  <c r="Q8" i="1" s="1"/>
  <c r="P12" i="1"/>
  <c r="Q12" i="1" s="1"/>
  <c r="P5" i="1"/>
  <c r="Q5" i="1" s="1"/>
  <c r="P16" i="1"/>
  <c r="Q16" i="1" s="1"/>
  <c r="P3" i="1"/>
  <c r="Q3" i="1" s="1"/>
  <c r="P10" i="1"/>
  <c r="Q10" i="1" s="1"/>
  <c r="P7" i="1"/>
  <c r="Q7" i="1" s="1"/>
  <c r="P6" i="1"/>
  <c r="Q6" i="1" s="1"/>
  <c r="P51" i="1"/>
  <c r="Q51" i="1" s="1"/>
  <c r="P40" i="1"/>
  <c r="Q40" i="1" s="1"/>
  <c r="P37" i="1"/>
  <c r="Q37" i="1" s="1"/>
  <c r="P39" i="1"/>
  <c r="Q39" i="1" s="1"/>
  <c r="P41" i="1"/>
  <c r="Q41" i="1" s="1"/>
  <c r="P38" i="1"/>
  <c r="Q38" i="1" s="1"/>
  <c r="P59" i="1"/>
  <c r="Q59" i="1" s="1"/>
  <c r="P72" i="1"/>
  <c r="Q72" i="1" s="1"/>
  <c r="P47" i="1"/>
  <c r="Q47" i="1" s="1"/>
  <c r="P46" i="1"/>
  <c r="Q46" i="1" s="1"/>
  <c r="P14" i="1"/>
  <c r="Q14" i="1" s="1"/>
  <c r="P15" i="1"/>
  <c r="Q15" i="1" s="1"/>
  <c r="P71" i="1"/>
  <c r="Q71" i="1" s="1"/>
  <c r="P62" i="1"/>
  <c r="Q62" i="1" s="1"/>
  <c r="P70" i="1"/>
  <c r="Q70" i="1" s="1"/>
  <c r="P69" i="1"/>
  <c r="Q69" i="1" s="1"/>
</calcChain>
</file>

<file path=xl/sharedStrings.xml><?xml version="1.0" encoding="utf-8"?>
<sst xmlns="http://schemas.openxmlformats.org/spreadsheetml/2006/main" count="1895" uniqueCount="804">
  <si>
    <t>Publication</t>
  </si>
  <si>
    <t>Parent / Association</t>
  </si>
  <si>
    <t>Website</t>
  </si>
  <si>
    <t>Category</t>
  </si>
  <si>
    <t>Primary Audience</t>
  </si>
  <si>
    <t>Audience / Reach Signal</t>
  </si>
  <si>
    <t>Core Coverage</t>
  </si>
  <si>
    <t>Formats</t>
  </si>
  <si>
    <t>Estimated Size Band</t>
  </si>
  <si>
    <t>Original Data Fit</t>
  </si>
  <si>
    <t>Contributed / Syndication Signal</t>
  </si>
  <si>
    <t>Syndication Likelihood (1-5)</t>
  </si>
  <si>
    <t>Audience Fit (1-5)</t>
  </si>
  <si>
    <t>Data-Story Fit (1-5)</t>
  </si>
  <si>
    <t>Access / Relationship Potential (1-5)</t>
  </si>
  <si>
    <t>Total Score</t>
  </si>
  <si>
    <t>Priority Tier</t>
  </si>
  <si>
    <t>Why It Matters / Pitch Angle</t>
  </si>
  <si>
    <t>Source URL</t>
  </si>
  <si>
    <t>Research Status</t>
  </si>
  <si>
    <t>Verified / Compiled</t>
  </si>
  <si>
    <t>RSS Status</t>
  </si>
  <si>
    <t>RSS Feed URL / Hub</t>
  </si>
  <si>
    <t>RSS Notes</t>
  </si>
  <si>
    <t>RSS Verification Source</t>
  </si>
  <si>
    <t>RSS Checked</t>
  </si>
  <si>
    <t>Senior Housing News</t>
  </si>
  <si>
    <t>WTWH Media / Aging Media</t>
  </si>
  <si>
    <t>https://seniorhousingnews.com/</t>
  </si>
  <si>
    <t>Senior living trade</t>
  </si>
  <si>
    <t>Senior living owners, operators, developers, investors, executives</t>
  </si>
  <si>
    <t>National U.S.</t>
  </si>
  <si>
    <t>Operations, development, finance, staffing, technology, marketing, memory care</t>
  </si>
  <si>
    <t>Digital news, newsletters, reports, events</t>
  </si>
  <si>
    <t>Large</t>
  </si>
  <si>
    <t>High</t>
  </si>
  <si>
    <t>Selective / commercial opportunities</t>
  </si>
  <si>
    <t>Top pure-play senior living target; strong appetite for reports, market data and operator implications.</t>
  </si>
  <si>
    <t>Verified current</t>
  </si>
  <si>
    <t>2026-09-03</t>
  </si>
  <si>
    <t>Yes</t>
  </si>
  <si>
    <t>https://seniorhousingnews.com/feed</t>
  </si>
  <si>
    <t>Main site feed verified in current RSS directory; category/company feeds also exist.</t>
  </si>
  <si>
    <t>https://rss.feedspot.com/senior_rss_feeds/</t>
  </si>
  <si>
    <t>McKnight's Senior Living</t>
  </si>
  <si>
    <t>Haymarket Media</t>
  </si>
  <si>
    <t>https://www.mcknightsseniorliving.com/</t>
  </si>
  <si>
    <t>Senior living executives, operators, clinical and business leaders</t>
  </si>
  <si>
    <t>Assisted living, memory care, operations, workforce, regulation, clinical, technology</t>
  </si>
  <si>
    <t>Digital, newsletters, awards/events</t>
  </si>
  <si>
    <t>Selective / sponsored options</t>
  </si>
  <si>
    <t>One of the highest-value editorial targets for data tied to operations, workforce, regulation or resident trends.</t>
  </si>
  <si>
    <t>Candidate - verify contact</t>
  </si>
  <si>
    <t>Feed available; exact endpoint not surfaced in search</t>
  </si>
  <si>
    <t>Current RSS directories list an active McKnight's Senior Living feed.</t>
  </si>
  <si>
    <t>Seniors Housing Business</t>
  </si>
  <si>
    <t>France Media</t>
  </si>
  <si>
    <t>https://seniorshousingbusiness.com/</t>
  </si>
  <si>
    <t>Senior housing real estate</t>
  </si>
  <si>
    <t>Owners, developers, operators, lenders, brokers, investors</t>
  </si>
  <si>
    <t>Transactions, development, capital markets, operations, investment</t>
  </si>
  <si>
    <t>Print/digital, newsletters, conferences</t>
  </si>
  <si>
    <t>Mid-Large</t>
  </si>
  <si>
    <t>Excellent for geographically localized development, affordability, inventory, financing and demand data.</t>
  </si>
  <si>
    <t>Not located</t>
  </si>
  <si>
    <t>Current site prominently offers print/newsletter subscriptions; no public RSS surfaced in research.</t>
  </si>
  <si>
    <t>https://seniorshousingbusiness.com/subscribe/</t>
  </si>
  <si>
    <t>Senior Living News</t>
  </si>
  <si>
    <t>https://www.seniorlivingnews.com/</t>
  </si>
  <si>
    <t>Owners, operators, developers, suppliers and executives</t>
  </si>
  <si>
    <t>Operations, development, technology, design, products, transactions</t>
  </si>
  <si>
    <t>Digital news, newsletter</t>
  </si>
  <si>
    <t>Mid</t>
  </si>
  <si>
    <t>Likely selective</t>
  </si>
  <si>
    <t>Good syndication prospect because coverage is broad and trade-oriented.</t>
  </si>
  <si>
    <t>Listed as an active RSS feed in current assisted-living RSS directory.</t>
  </si>
  <si>
    <t>https://rss.feedspot.com/assisted_living_rss_feeds/</t>
  </si>
  <si>
    <t>Senior Living Executive</t>
  </si>
  <si>
    <t>Argentum</t>
  </si>
  <si>
    <t>https://www.argentum.org/argentummedia/senior-living-executive-magazine/</t>
  </si>
  <si>
    <t>Association publication</t>
  </si>
  <si>
    <t>Senior living community leaders and executives</t>
  </si>
  <si>
    <t>Workforce, quality, operations, consumer choice, memory care, leadership</t>
  </si>
  <si>
    <t>Digital magazine/newsletter</t>
  </si>
  <si>
    <t>Sponsored content available; editorial selective</t>
  </si>
  <si>
    <t>Strong credibility and operator reach; association gatekeeping may make free syndication harder.</t>
  </si>
  <si>
    <t>No public RSS endpoint surfaced in current research; association media appears primarily web/email delivered.</t>
  </si>
  <si>
    <t>https://www.argentum.org/</t>
  </si>
  <si>
    <t>AHEAD</t>
  </si>
  <si>
    <t>https://www.argentum.org/argentummedia/ahead/</t>
  </si>
  <si>
    <t>Association newsletter</t>
  </si>
  <si>
    <t>Owners, operators and senior living executives</t>
  </si>
  <si>
    <t>Policy, industry trends, workforce, finance, operations</t>
  </si>
  <si>
    <t>Weekly newsletter</t>
  </si>
  <si>
    <t>Association editorial</t>
  </si>
  <si>
    <t>Useful for concise data releases with policy or operating relevance.</t>
  </si>
  <si>
    <t>Provider Magazine</t>
  </si>
  <si>
    <t>AHCA/NCAL</t>
  </si>
  <si>
    <t>https://www.providermagazine.com/</t>
  </si>
  <si>
    <t>Long-term care trade</t>
  </si>
  <si>
    <t>Owners, administrators, clinicians and executives in LTC/post-acute</t>
  </si>
  <si>
    <t>National U.S.; 50,000+ subscribers reported in media materials</t>
  </si>
  <si>
    <t>Nursing facilities, assisted living, workforce, clinical, policy, technology, finance</t>
  </si>
  <si>
    <t>Print/digital magazine</t>
  </si>
  <si>
    <t>Selective; association publication</t>
  </si>
  <si>
    <t>Excellent audience; especially strong for Medicaid, staffing, quality, affordability and state-by-state data.</t>
  </si>
  <si>
    <t>https://www.ahcancal.org/businesspartners/Pages/default.aspx</t>
  </si>
  <si>
    <t>No public RSS endpoint surfaced in current search.</t>
  </si>
  <si>
    <t>McKnight's Long-Term Care News</t>
  </si>
  <si>
    <t>https://www.mcknights.com/</t>
  </si>
  <si>
    <t>Nursing home/LTC owners, operators, administrators, clinicians</t>
  </si>
  <si>
    <t>Skilled nursing, regulation, reimbursement, staffing, clinical operations</t>
  </si>
  <si>
    <t>Digital, newsletters, events</t>
  </si>
  <si>
    <t>Major target for nursing-home and long-term-care data stories.</t>
  </si>
  <si>
    <t>No public RSS endpoint surfaced in current research.</t>
  </si>
  <si>
    <t>Skilled Nursing News</t>
  </si>
  <si>
    <t>https://skillednursingnews.com/</t>
  </si>
  <si>
    <t>Skilled nursing trade</t>
  </si>
  <si>
    <t>SNF owners, operators, investors and executives</t>
  </si>
  <si>
    <t>Operations, finance, reimbursement, staffing, M&amp;A, clinical trends</t>
  </si>
  <si>
    <t>Digital news, newsletter, reports/events</t>
  </si>
  <si>
    <t>Strong match for original data with business implications.</t>
  </si>
  <si>
    <t>https://skillednursingnews.com/feed</t>
  </si>
  <si>
    <t>WordPress-style site feed; SNN also has a separate Rethink podcast RSS feed.</t>
  </si>
  <si>
    <t>https://skilled-nursing-news.castos.com/subscribe</t>
  </si>
  <si>
    <t>iAdvance Senior Care</t>
  </si>
  <si>
    <t>WTWH Media</t>
  </si>
  <si>
    <t>https://www.iadvanceseniorcare.com/</t>
  </si>
  <si>
    <t>Senior care trade</t>
  </si>
  <si>
    <t>Senior care executives, administrators, clinical leaders</t>
  </si>
  <si>
    <t>Operations, workforce, clinical, technology, compliance, resident care</t>
  </si>
  <si>
    <t>Digital</t>
  </si>
  <si>
    <t>Likely selective / sponsored</t>
  </si>
  <si>
    <t>Good secondary trade target; useful for practical operator-focused research.</t>
  </si>
  <si>
    <t>Candidate - verify current editorial model</t>
  </si>
  <si>
    <t>Listed in current senior-care RSS directories.</t>
  </si>
  <si>
    <t>https://rss.feedspot.com/senior_care_rss_feeds/</t>
  </si>
  <si>
    <t>Home Health Care News</t>
  </si>
  <si>
    <t>https://homehealthcarenews.com/</t>
  </si>
  <si>
    <t>Home care/home health trade</t>
  </si>
  <si>
    <t>Home health and home care owners, operators, executives, investors</t>
  </si>
  <si>
    <t>Home health, personal care, M&amp;A, payment, staffing, technology, policy</t>
  </si>
  <si>
    <t>Digital news, newsletters, reports/events</t>
  </si>
  <si>
    <t>Top target for aging-in-place, caregiving workforce and home-care demand data.</t>
  </si>
  <si>
    <t>https://homehealthcarenews.com/feed</t>
  </si>
  <si>
    <t>Main feed verified in current healthcare RSS directory; category feeds also exist.</t>
  </si>
  <si>
    <t>https://rss.feedspot.com/healthcare_rss_feeds/</t>
  </si>
  <si>
    <t>Hospice News</t>
  </si>
  <si>
    <t>https://hospicenews.com/</t>
  </si>
  <si>
    <t>Hospice/palliative trade</t>
  </si>
  <si>
    <t>Hospice operators, executives, investors, clinicians</t>
  </si>
  <si>
    <t>Hospice, palliative care, payment, M&amp;A, workforce, regulation</t>
  </si>
  <si>
    <t>Medium-High</t>
  </si>
  <si>
    <t>Best for end-of-life, caregiver burden, access and aging-health-system stories.</t>
  </si>
  <si>
    <t>https://hospicenews.com/feed</t>
  </si>
  <si>
    <t>Public WordPress-style site feed located during research.</t>
  </si>
  <si>
    <t>Home Health Line</t>
  </si>
  <si>
    <t>DecisionHealth / HCPro</t>
  </si>
  <si>
    <t>https://homehealthline.decisionhealth.com/</t>
  </si>
  <si>
    <t>Home health trade</t>
  </si>
  <si>
    <t>Home health agency executives, compliance and operations leaders</t>
  </si>
  <si>
    <t>Regulation, payment, compliance, operations, benchmarks</t>
  </si>
  <si>
    <t>Paid weekly publication</t>
  </si>
  <si>
    <t>Niche-Mid</t>
  </si>
  <si>
    <t>Medium</t>
  </si>
  <si>
    <t>Paid/subscriber editorial</t>
  </si>
  <si>
    <t>Useful for technical/regulatory datasets; less natural for broad syndication.</t>
  </si>
  <si>
    <t>https://store.decisionhealth.com/publications</t>
  </si>
  <si>
    <t>HomeCare Magazine</t>
  </si>
  <si>
    <t>https://www.homecaremag.com/</t>
  </si>
  <si>
    <t>Home care/HME trade</t>
  </si>
  <si>
    <t>Home care providers, HME businesses, aging-in-place vendors</t>
  </si>
  <si>
    <t>Home care operations, mobility, HME, technology, aging in place</t>
  </si>
  <si>
    <t>Print/digital, newsletter</t>
  </si>
  <si>
    <t>Selective / contributed content possible</t>
  </si>
  <si>
    <t>Good bridge between aging population data and vendors/providers serving people at home.</t>
  </si>
  <si>
    <t>http://homecaremag.com/combo/feed</t>
  </si>
  <si>
    <t>Official RSS page offers Features, Headline News, and a combined feed.</t>
  </si>
  <si>
    <t>https://www.homecaremag.com/rss</t>
  </si>
  <si>
    <t>HME Business</t>
  </si>
  <si>
    <t>https://hme-business.com/</t>
  </si>
  <si>
    <t>Home medical equipment trade</t>
  </si>
  <si>
    <t>HME dealers/providers, clinicians and industry professionals</t>
  </si>
  <si>
    <t>Mobility, rehab, respiratory, senior aids, reimbursement, products</t>
  </si>
  <si>
    <t>Digital magazine, newsletters, reports</t>
  </si>
  <si>
    <t>Selective / sponsored content</t>
  </si>
  <si>
    <t>Relevant for aging-in-place, disability, mobility and assistive-equipment data.</t>
  </si>
  <si>
    <t>https://hme-business.com/about-hme-business/</t>
  </si>
  <si>
    <t>Current site emphasizes email newsletters; no public RSS surfaced.</t>
  </si>
  <si>
    <t>https://hme-business.com/hme-business-enewsletter/</t>
  </si>
  <si>
    <t>Mobility Management</t>
  </si>
  <si>
    <t>https://mobilitymgmt.com/</t>
  </si>
  <si>
    <t>Mobility/rehab trade</t>
  </si>
  <si>
    <t>Mobility and complex rehab professionals, providers, clinicians</t>
  </si>
  <si>
    <t>Mobility products, accessibility, rehab technology, policy</t>
  </si>
  <si>
    <t>Digital/print trade media</t>
  </si>
  <si>
    <t>Selective</t>
  </si>
  <si>
    <t>Niche target for mobility, disability and aging-in-place research.</t>
  </si>
  <si>
    <t>No current public feed endpoint surfaced in search.</t>
  </si>
  <si>
    <t>Generations Journal</t>
  </si>
  <si>
    <t>American Society on Aging</t>
  </si>
  <si>
    <t>https://generations.asaging.org/publications/generations-journal/</t>
  </si>
  <si>
    <t>Aging professional / policy</t>
  </si>
  <si>
    <t>Professionals in aging, researchers, policymakers, service providers</t>
  </si>
  <si>
    <t>Aging practice, research, policy, workforce, health, social services</t>
  </si>
  <si>
    <t>Quarterly journal</t>
  </si>
  <si>
    <t>Editorial / themed submissions</t>
  </si>
  <si>
    <t>High-authority thought-leadership target; less likely straight syndication, stronger for adapted research.</t>
  </si>
  <si>
    <t>https://generations.asaging.org/feed</t>
  </si>
  <si>
    <t>ASA Generations site exposes an RSS Feed link; sitewide feed covers Generations content.</t>
  </si>
  <si>
    <t>Generations Today</t>
  </si>
  <si>
    <t>https://generations.asaging.org/</t>
  </si>
  <si>
    <t>Aging-services professionals and advocates</t>
  </si>
  <si>
    <t>Current aging trends, policy, practice, people and programs</t>
  </si>
  <si>
    <t>Digital publication/newsletter</t>
  </si>
  <si>
    <t>Editorial selective</t>
  </si>
  <si>
    <t>Excellent prospect for readable data journalism about older adults and aging systems.</t>
  </si>
  <si>
    <t>ASA Generations sitewide feed verified.</t>
  </si>
  <si>
    <t>https://rss.feedspot.com/aging_rss_feeds/</t>
  </si>
  <si>
    <t>LeadingAge</t>
  </si>
  <si>
    <t>https://leadingage.org/</t>
  </si>
  <si>
    <t>Aging services association media</t>
  </si>
  <si>
    <t>Nonprofit aging-services providers, senior housing, home/community services</t>
  </si>
  <si>
    <t>Senior housing, nursing homes, home health, hospice, affordable housing, LTSS, technology</t>
  </si>
  <si>
    <t>Web/newsletters/research</t>
  </si>
  <si>
    <t>Very strong audience match, especially nonprofit/provider and policy angles.</t>
  </si>
  <si>
    <t>Current subscription page points to email/My.LeadingAge rather than RSS.</t>
  </si>
  <si>
    <t>https://leadingage.org/subscribe/</t>
  </si>
  <si>
    <t>Journal of Aging Life Care</t>
  </si>
  <si>
    <t>Aging Life Care Association</t>
  </si>
  <si>
    <t>https://www.aginglifecare.org/</t>
  </si>
  <si>
    <t>Aging care management</t>
  </si>
  <si>
    <t>Professional geriatric/aging life care managers</t>
  </si>
  <si>
    <t>Care management, caregiving, clinical and business topics, best practices</t>
  </si>
  <si>
    <t>Peer-reviewed journal</t>
  </si>
  <si>
    <t>Niche</t>
  </si>
  <si>
    <t>Formal submissions</t>
  </si>
  <si>
    <t>High-value niche for caregiver, family decision-making and care-navigation research.</t>
  </si>
  <si>
    <t>https://www.aginglifecare.org/ALCAWEB/ALCAWEB/Education/ALCA_Resources.aspx</t>
  </si>
  <si>
    <t>Inside ALCA</t>
  </si>
  <si>
    <t>Aging Life Care Association members</t>
  </si>
  <si>
    <t>Association news, professional practice, care management</t>
  </si>
  <si>
    <t>Member magazine</t>
  </si>
  <si>
    <t>Member/association editorial</t>
  </si>
  <si>
    <t>Smaller but highly targeted professional audience.</t>
  </si>
  <si>
    <t>AARP Public Policy Institute</t>
  </si>
  <si>
    <t>AARP</t>
  </si>
  <si>
    <t>https://www.aarp.org/ppi/</t>
  </si>
  <si>
    <t>Aging policy/research</t>
  </si>
  <si>
    <t>Policymakers, researchers, aging advocates, industry</t>
  </si>
  <si>
    <t>Aging demographics, caregiving, housing, work, health, retirement, longevity economy</t>
  </si>
  <si>
    <t>Research reports/web</t>
  </si>
  <si>
    <t>Very Large</t>
  </si>
  <si>
    <t>Original research publisher; partnership more likely than syndication</t>
  </si>
  <si>
    <t>Critical influence/source partner; better as research benchmark or collaboration target than republication outlet.</t>
  </si>
  <si>
    <t>Candidate - current site</t>
  </si>
  <si>
    <t>Next Avenue</t>
  </si>
  <si>
    <t>Twin Cities PBS</t>
  </si>
  <si>
    <t>https://www.nextavenue.org/</t>
  </si>
  <si>
    <t>Aging-focused media</t>
  </si>
  <si>
    <t>Older adults plus aging professionals and organizations</t>
  </si>
  <si>
    <t>Aging, work, money, health, caregiving, living, purpose</t>
  </si>
  <si>
    <t>Digital publication</t>
  </si>
  <si>
    <t>Selective editorial / contributor model</t>
  </si>
  <si>
    <t>Not pure B2B, but exceptionally relevant for public-facing aging data stories that sponsors may value.</t>
  </si>
  <si>
    <t>Candidate - verify contributor policy</t>
  </si>
  <si>
    <t>Needs recheck</t>
  </si>
  <si>
    <t>Next Avenue moved from nextavenue.org to MinnesotaPBS.org in May 2026; legacy RSS listings may now be stale.</t>
  </si>
  <si>
    <t>https://asaging.org/</t>
  </si>
  <si>
    <t>Aging professional association</t>
  </si>
  <si>
    <t>Professionals working in aging</t>
  </si>
  <si>
    <t>Aging policy, practice, workforce, equity, services</t>
  </si>
  <si>
    <t>Association web/newsletters/events</t>
  </si>
  <si>
    <t>Useful umbrella relationship beyond its Generations publications.</t>
  </si>
  <si>
    <t>ASA's Generations publishing platform has an active RSS feed.</t>
  </si>
  <si>
    <t>National Council on Aging</t>
  </si>
  <si>
    <t>NCOA</t>
  </si>
  <si>
    <t>https://www.ncoa.org/</t>
  </si>
  <si>
    <t>Aging nonprofit/professional</t>
  </si>
  <si>
    <t>Aging network, community organizations, older adults, policymakers</t>
  </si>
  <si>
    <t>Benefits, falls, healthy aging, economic security, aging services</t>
  </si>
  <si>
    <t>Web/research/newsletters</t>
  </si>
  <si>
    <t>Partnership/content collaboration more likely than syndication</t>
  </si>
  <si>
    <t>Strong for community-level aging and economic-security datasets.</t>
  </si>
  <si>
    <t>No current public RSS endpoint surfaced in research.</t>
  </si>
  <si>
    <t>USAging</t>
  </si>
  <si>
    <t>https://www.usaging.org/</t>
  </si>
  <si>
    <t>Aging services association</t>
  </si>
  <si>
    <t>Area Agencies on Aging and community-based aging organizations</t>
  </si>
  <si>
    <t>Older Americans Act, AAA programs, transportation, caregiving, aging services</t>
  </si>
  <si>
    <t>Association news/research</t>
  </si>
  <si>
    <t>Excellent distribution node for localized state/county aging-services stories.</t>
  </si>
  <si>
    <t>Aging and Disability Business Institute</t>
  </si>
  <si>
    <t>USAging / partners</t>
  </si>
  <si>
    <t>https://www.aginganddisabilitybusinessinstitute.org/</t>
  </si>
  <si>
    <t>Aging services business</t>
  </si>
  <si>
    <t>Community-based aging/disability organizations and healthcare partners</t>
  </si>
  <si>
    <t>Healthcare partnerships, value-based care, CBO contracting, aging services</t>
  </si>
  <si>
    <t>Web/newsletters/resources</t>
  </si>
  <si>
    <t>Selective / partnership</t>
  </si>
  <si>
    <t>Strong for healthcare utilization, community care and business-model data.</t>
  </si>
  <si>
    <t>Current site offers email news updates; no public RSS endpoint surfaced.</t>
  </si>
  <si>
    <t>https://aginganddisabilitybusinessinstitute.org/subscribe-to-our-mailing-list/</t>
  </si>
  <si>
    <t>Multi-Housing News - Senior Housing</t>
  </si>
  <si>
    <t>Yardi</t>
  </si>
  <si>
    <t>https://www.multihousingnews.com/senior-housing/</t>
  </si>
  <si>
    <t>Multifamily/senior housing developers, owners, investors, managers</t>
  </si>
  <si>
    <t>Senior housing transactions, development, finance, market fundamentals</t>
  </si>
  <si>
    <t>Digital/print real estate media</t>
  </si>
  <si>
    <t>Selective editorial</t>
  </si>
  <si>
    <t>Very good prospect for housing supply, rents, affordability, demographics and metro/state rankings.</t>
  </si>
  <si>
    <t>No senior-housing-specific public RSS endpoint surfaced in research.</t>
  </si>
  <si>
    <t>https://www.commercialsearch.com/news/</t>
  </si>
  <si>
    <t>Commercial real estate</t>
  </si>
  <si>
    <t>REBusinessOnline</t>
  </si>
  <si>
    <t>https://rebusinessonline.com/</t>
  </si>
  <si>
    <t>CRE investors, developers, brokers, lenders</t>
  </si>
  <si>
    <t>Digital/newsletters</t>
  </si>
  <si>
    <t>Good for market-by-market senior housing data and state/regional rankings.</t>
  </si>
  <si>
    <t>https://rebusinessonline.com/feed/atom/</t>
  </si>
  <si>
    <t>Active Atom feed verified; category feeds are also available.</t>
  </si>
  <si>
    <t>Digital/newsletters/events</t>
  </si>
  <si>
    <t>Selective / sponsored</t>
  </si>
  <si>
    <t>RSS available; use site's 'Get RSS Feed' link</t>
  </si>
  <si>
    <t>Connect CRE currently exposes a 'Get RSS Feed' link/sitewide feed.</t>
  </si>
  <si>
    <t>https://www.connectcre.ca/</t>
  </si>
  <si>
    <t>Multiple feeds by market + home editorial</t>
  </si>
  <si>
    <t>Official sitemap includes RSS feeds for Home Editorial and numerous markets.</t>
  </si>
  <si>
    <t>https://www.bisnow.com/sitemap</t>
  </si>
  <si>
    <t>ALM</t>
  </si>
  <si>
    <t>https://www.globest.com/rss/</t>
  </si>
  <si>
    <t>Official RSS hub offers market, region and sector feeds, including Healthcare Real Estate.</t>
  </si>
  <si>
    <t>Senior Housing Investor</t>
  </si>
  <si>
    <t>Real Assets Adviser / institutional real estate media</t>
  </si>
  <si>
    <t>https://www.irei.com/</t>
  </si>
  <si>
    <t>Senior housing investment</t>
  </si>
  <si>
    <t>Institutional investors and real estate professionals</t>
  </si>
  <si>
    <t>National/Global</t>
  </si>
  <si>
    <t>Senior housing investment and institutional capital</t>
  </si>
  <si>
    <t>Trade/investment media</t>
  </si>
  <si>
    <t>Specialist institutional audience; verify current dedicated product before pitching.</t>
  </si>
  <si>
    <t>Candidate - verify publication</t>
  </si>
  <si>
    <t>Environments for Aging</t>
  </si>
  <si>
    <t>Emerald / Healthcare Design</t>
  </si>
  <si>
    <t>https://www.environmentsforaging.com/</t>
  </si>
  <si>
    <t>Senior living design</t>
  </si>
  <si>
    <t>Architects, designers, owners, developers, facility leaders</t>
  </si>
  <si>
    <t>Senior living design, architecture, interiors, renovation, wellness</t>
  </si>
  <si>
    <t>Digital/print/events</t>
  </si>
  <si>
    <t>Selective / contributed case studies</t>
  </si>
  <si>
    <t>Excellent for data on resident preferences, accessibility, design trends and capital projects.</t>
  </si>
  <si>
    <t>Healthcare Design</t>
  </si>
  <si>
    <t>Emerald</t>
  </si>
  <si>
    <t>https://healthcaredesignmagazine.com/</t>
  </si>
  <si>
    <t>Healthcare design</t>
  </si>
  <si>
    <t>Healthcare architects, designers, facility executives, owners</t>
  </si>
  <si>
    <t>Healthcare architecture/design, environments, facilities, senior care settings</t>
  </si>
  <si>
    <t>Print/digital/events</t>
  </si>
  <si>
    <t>Adjacent target for senior-care facility and age-friendly design data.</t>
  </si>
  <si>
    <t>Architecture/construction B2B</t>
  </si>
  <si>
    <t>Digital/print</t>
  </si>
  <si>
    <t>Current RSS directories list active BD+C site and topic feeds.</t>
  </si>
  <si>
    <t>https://rss.feedspot.com/construction_rss_feeds/</t>
  </si>
  <si>
    <t>Facility Executive</t>
  </si>
  <si>
    <t>Group C Media</t>
  </si>
  <si>
    <t>https://facilityexecutive.com/</t>
  </si>
  <si>
    <t>Facilities B2B</t>
  </si>
  <si>
    <t>Facility managers and operations leaders</t>
  </si>
  <si>
    <t>Facilities, maintenance, safety, technology, workplace/healthcare</t>
  </si>
  <si>
    <t>Low-Medium</t>
  </si>
  <si>
    <t>Contributed content common</t>
  </si>
  <si>
    <t>More niche; relevant for senior-living facilities operations or safety datasets.</t>
  </si>
  <si>
    <t>https://facilityexecutive.com/feed</t>
  </si>
  <si>
    <t>Active site feed verified in current RSS directory; publisher also maintains an RSS-feeds page.</t>
  </si>
  <si>
    <t>https://rss.feedspot.com/facility_management_rss_feeds/</t>
  </si>
  <si>
    <t>Modern Healthcare</t>
  </si>
  <si>
    <t>Crain Communications</t>
  </si>
  <si>
    <t>https://www.modernhealthcare.com/</t>
  </si>
  <si>
    <t>Healthcare business</t>
  </si>
  <si>
    <t>Health system, payer, policy and healthcare executives</t>
  </si>
  <si>
    <t>Healthcare business, policy, finance, workforce, Medicare/Medicaid</t>
  </si>
  <si>
    <t>Digital/print/newsletters/events</t>
  </si>
  <si>
    <t>Highly selective editorial</t>
  </si>
  <si>
    <t>Prestige target for major aging-healthcare datasets with national significance.</t>
  </si>
  <si>
    <t>Multiple feeds / RSS hub</t>
  </si>
  <si>
    <t>Modern Healthcare has RSS feeds, though current search surfaced legacy/general feed references rather than a clean single endpoint.</t>
  </si>
  <si>
    <t>https://www.raps.org/resource/using-rss-feeds-as-a-regulatory-intelligence-tool-1.html</t>
  </si>
  <si>
    <t>Healthcare Dive</t>
  </si>
  <si>
    <t>Informa TechTarget</t>
  </si>
  <si>
    <t>https://www.healthcaredive.com/</t>
  </si>
  <si>
    <t>Healthcare executives and industry professionals</t>
  </si>
  <si>
    <t>Policy, providers, payers, technology, workforce, value-based care</t>
  </si>
  <si>
    <t>Digital/newsletter</t>
  </si>
  <si>
    <t>Strong for concise, newsy datasets with healthcare-business implications.</t>
  </si>
  <si>
    <t>https://www.healthcaredive.com/feeds/news/</t>
  </si>
  <si>
    <t>Main news feed verified.</t>
  </si>
  <si>
    <t>Fierce Healthcare</t>
  </si>
  <si>
    <t>Questex</t>
  </si>
  <si>
    <t>https://www.fiercehealthcare.com/</t>
  </si>
  <si>
    <t>Healthcare executives, payers, providers, health tech</t>
  </si>
  <si>
    <t>Payers, providers, policy, Medicare, digital health, finance</t>
  </si>
  <si>
    <t>Selective / contributed/sponsored options</t>
  </si>
  <si>
    <t>Strong secondary healthcare target for Medicare, access, utilization and aging-tech data.</t>
  </si>
  <si>
    <t>https://www.fiercehealthcare.com/rss/xml</t>
  </si>
  <si>
    <t>Official RSS page provides all-stories and section feeds.</t>
  </si>
  <si>
    <t>https://www.fiercehealthcare.com/fiercehealthcarecom/rss-feeds</t>
  </si>
  <si>
    <t>HealthLeaders</t>
  </si>
  <si>
    <t>HCPro</t>
  </si>
  <si>
    <t>https://www.healthleadersmedia.com/</t>
  </si>
  <si>
    <t>Healthcare executive</t>
  </si>
  <si>
    <t>Hospital and health-system executives</t>
  </si>
  <si>
    <t>Strategy, finance, nursing, clinical care, workforce, technology</t>
  </si>
  <si>
    <t>Best for health-system impacts of aging, labor and utilization.</t>
  </si>
  <si>
    <t>Becker's Hospital Review</t>
  </si>
  <si>
    <t>Becker's Healthcare</t>
  </si>
  <si>
    <t>https://www.beckershospitalreview.com/</t>
  </si>
  <si>
    <t>Hospital/health system executives</t>
  </si>
  <si>
    <t>Hospital strategy, finance, leadership, workforce, payer issues</t>
  </si>
  <si>
    <t>Selective; guest content exists</t>
  </si>
  <si>
    <t>High-volume outlet; useful for data with hospital and eldercare implications.</t>
  </si>
  <si>
    <t>https://www.beckershospitalreview.com/rss-feeds/</t>
  </si>
  <si>
    <t>Official RSS hub provides Hospital Review plus channel-specific feeds.</t>
  </si>
  <si>
    <t>Chief Healthcare Executive</t>
  </si>
  <si>
    <t>MJH Life Sciences</t>
  </si>
  <si>
    <t>https://www.chiefhealthcareexecutive.com/</t>
  </si>
  <si>
    <t>C-suite healthcare leaders</t>
  </si>
  <si>
    <t>Leadership, policy, finance, health equity, technology, workforce</t>
  </si>
  <si>
    <t>Potential for demographic and eldercare-system impact stories.</t>
  </si>
  <si>
    <t>No publication RSS endpoint surfaced in current research.</t>
  </si>
  <si>
    <t>MedCity News</t>
  </si>
  <si>
    <t>Breaking Media</t>
  </si>
  <si>
    <t>https://medcitynews.com/</t>
  </si>
  <si>
    <t>Healthcare innovation</t>
  </si>
  <si>
    <t>Healthcare executives, investors, health-tech leaders</t>
  </si>
  <si>
    <t>Digital health, care delivery, startups, policy, investment</t>
  </si>
  <si>
    <t>Digital/events</t>
  </si>
  <si>
    <t>Selective/contributed options</t>
  </si>
  <si>
    <t>Good for age-tech, longevity tech, home care innovation and Medicare models.</t>
  </si>
  <si>
    <t>https://medcitynews.com/feed</t>
  </si>
  <si>
    <t>Main site feed verified in current healthcare RSS directory.</t>
  </si>
  <si>
    <t>Healthcare IT News</t>
  </si>
  <si>
    <t>HIMSS Media</t>
  </si>
  <si>
    <t>https://www.healthcareitnews.com/</t>
  </si>
  <si>
    <t>Health IT B2B</t>
  </si>
  <si>
    <t>Health IT executives and clinical technology leaders</t>
  </si>
  <si>
    <t>Global/U.S.</t>
  </si>
  <si>
    <t>EHR, AI, digital health, interoperability, cybersecurity</t>
  </si>
  <si>
    <t>Useful for aging-tech and digital-access datasets, not general aging stories.</t>
  </si>
  <si>
    <t>Multiple site/topic feeds</t>
  </si>
  <si>
    <t>Current RSS directories verify an active Healthcare IT News feed; taxonomy feeds also exist.</t>
  </si>
  <si>
    <t>MobiHealthNews</t>
  </si>
  <si>
    <t>https://www.mobihealthnews.com/</t>
  </si>
  <si>
    <t>Digital health B2B</t>
  </si>
  <si>
    <t>Digital health companies, investors, healthcare innovators</t>
  </si>
  <si>
    <t>Digital therapeutics, remote care, AI, wearables, telehealth</t>
  </si>
  <si>
    <t>Target for tech-enabled aging-in-place and remote-monitoring data.</t>
  </si>
  <si>
    <t>Multiple taxonomy/topic feeds</t>
  </si>
  <si>
    <t>Active RSS feeds verified, including taxonomy feeds; use topic-specific feeds for targeting.</t>
  </si>
  <si>
    <t>https://www.mobihealthnews.com/taxonomy/term/175160/feed</t>
  </si>
  <si>
    <t>Managed Healthcare Executive</t>
  </si>
  <si>
    <t>https://www.managedhealthcareexecutive.com/</t>
  </si>
  <si>
    <t>Payer/managed care B2B</t>
  </si>
  <si>
    <t>Health plan and managed-care executives</t>
  </si>
  <si>
    <t>Medicare Advantage, Medicaid, pharmacy, population health, policy</t>
  </si>
  <si>
    <t>Selective/contributed</t>
  </si>
  <si>
    <t>Strong for Medicare, Medicaid, aging population and cost/utilization data.</t>
  </si>
  <si>
    <t>Older RSS references exist, but a current endpoint was not cleanly verified.</t>
  </si>
  <si>
    <t>BenefitsPRO</t>
  </si>
  <si>
    <t>https://www.benefitspro.com/</t>
  </si>
  <si>
    <t>Benefits/retirement B2B</t>
  </si>
  <si>
    <t>Benefits brokers, advisers, employers</t>
  </si>
  <si>
    <t>Retirement, benefits, healthcare, workforce, financial wellness</t>
  </si>
  <si>
    <t>Useful for aging workforce, caregiving benefits and retirement-readiness datasets.</t>
  </si>
  <si>
    <t>Listed in current insurance/benefits RSS directory.</t>
  </si>
  <si>
    <t>https://rss.feedspot.com/insurance_rss_feeds/</t>
  </si>
  <si>
    <t>PLANADVISER</t>
  </si>
  <si>
    <t>ISS Market Intelligence</t>
  </si>
  <si>
    <t>https://www.planadviser.com/</t>
  </si>
  <si>
    <t>Retirement plan B2B</t>
  </si>
  <si>
    <t>Retirement plan advisers and consultants</t>
  </si>
  <si>
    <t>401(k), retirement readiness, plan design, regulation, advice</t>
  </si>
  <si>
    <t>Digital/print/newsletters</t>
  </si>
  <si>
    <t>Good for employer/retirement aspects of longevity and caregiving.</t>
  </si>
  <si>
    <t>https://www.planadviser.com/pa-rss/</t>
  </si>
  <si>
    <t>Official RSS hub with latest headlines and category feeds.</t>
  </si>
  <si>
    <t>PLANSPONSOR</t>
  </si>
  <si>
    <t>https://www.plansponsor.com/</t>
  </si>
  <si>
    <t>Retirement/benefits B2B</t>
  </si>
  <si>
    <t>Employers and retirement plan sponsors</t>
  </si>
  <si>
    <t>Retirement plans, benefits, workforce, financial wellness</t>
  </si>
  <si>
    <t>Potential for aging workforce and retirement-security research.</t>
  </si>
  <si>
    <t>https://www.plansponsor.com/ps-rss/</t>
  </si>
  <si>
    <t>NAPA Net Daily</t>
  </si>
  <si>
    <t>American Retirement Association</t>
  </si>
  <si>
    <t>https://www.napa-net.org/news-info/daily-news</t>
  </si>
  <si>
    <t>Retirement adviser B2B</t>
  </si>
  <si>
    <t>Retirement plan advisers</t>
  </si>
  <si>
    <t>Retirement plans, regulation, practice management, participant behavior</t>
  </si>
  <si>
    <t>Digital newsletter</t>
  </si>
  <si>
    <t>Association/editorial</t>
  </si>
  <si>
    <t>Niche but targeted for retirement-readiness and aging-workforce data.</t>
  </si>
  <si>
    <t>InvestmentNews</t>
  </si>
  <si>
    <t>Key Media</t>
  </si>
  <si>
    <t>https://www.investmentnews.com/</t>
  </si>
  <si>
    <t>Financial adviser B2B</t>
  </si>
  <si>
    <t>Financial advisers, RIAs, wealth managers</t>
  </si>
  <si>
    <t>Retirement planning, wealth, regulation, demographics, practice management</t>
  </si>
  <si>
    <t>Strong when aging data connects to retirement income, caregiving costs or longevity planning.</t>
  </si>
  <si>
    <t>https://www.investmentnews.com/feed</t>
  </si>
  <si>
    <t>Main feed plus topic feeds documented by current RSS directories.</t>
  </si>
  <si>
    <t>https://blog.investmentpal.com/rss-feeds-finance-sites</t>
  </si>
  <si>
    <t>ThinkAdvisor</t>
  </si>
  <si>
    <t>https://www.thinkadvisor.com/</t>
  </si>
  <si>
    <t>Financial advisers, insurance professionals, wealth managers</t>
  </si>
  <si>
    <t>Retirement, Social Security, Medicare, wealth, insurance, longevity</t>
  </si>
  <si>
    <t>Very relevant for retirement, Medicare and longevity-economy data.</t>
  </si>
  <si>
    <t>https://feeds.feedblitz.com/ThinkAdvisor</t>
  </si>
  <si>
    <t>Active feed endpoint documented in finance RSS directory.</t>
  </si>
  <si>
    <t>Financial Advisor Magazine</t>
  </si>
  <si>
    <t>Charter Financial Publishing</t>
  </si>
  <si>
    <t>https://www.fa-mag.com/</t>
  </si>
  <si>
    <t>Independent financial advisers and wealth managers</t>
  </si>
  <si>
    <t>Retirement, wealth management, practice management, investments</t>
  </si>
  <si>
    <t>Print/digital</t>
  </si>
  <si>
    <t>Potential for longevity-planning and eldercare-cost datasets.</t>
  </si>
  <si>
    <t>https://www.fa-mag.com/rss.php</t>
  </si>
  <si>
    <t>RSS feed endpoint listed in current financial-news RSS directory.</t>
  </si>
  <si>
    <t>https://rss.feedspot.com/financial_news_rss_feeds/</t>
  </si>
  <si>
    <t>RIABiz</t>
  </si>
  <si>
    <t>https://riabiz.com/</t>
  </si>
  <si>
    <t>Wealth management B2B</t>
  </si>
  <si>
    <t>RIA executives and advisers</t>
  </si>
  <si>
    <t>RIA business, wealth management, retirement, technology</t>
  </si>
  <si>
    <t>Lower-priority adjacency unless research has adviser-industry angle.</t>
  </si>
  <si>
    <t>InsuranceNewsNet</t>
  </si>
  <si>
    <t>https://www.insurancenewsnet.com/</t>
  </si>
  <si>
    <t>Insurance/retirement B2B</t>
  </si>
  <si>
    <t>Insurance and financial professionals</t>
  </si>
  <si>
    <t>Annuities, life/LTC insurance, retirement, Medicare</t>
  </si>
  <si>
    <t>Contributor/sponsored options</t>
  </si>
  <si>
    <t>Strong for long-term care insurance, retirement and longevity-finance data.</t>
  </si>
  <si>
    <t>https://insurancenewsnet.com/feed</t>
  </si>
  <si>
    <t>Site metadata exposes a main RSS feed; topic feeds also exist.</t>
  </si>
  <si>
    <t>https://azstats.org/site/insurancenewsnet.com/</t>
  </si>
  <si>
    <t>LTC News</t>
  </si>
  <si>
    <t>https://www.ltcnews.com/</t>
  </si>
  <si>
    <t>Long-term care/insurance media</t>
  </si>
  <si>
    <t>Consumers plus LTC insurance/care professionals</t>
  </si>
  <si>
    <t>Long-term care costs, insurance, caregiving, care options</t>
  </si>
  <si>
    <t>Contributor/partnership possible</t>
  </si>
  <si>
    <t>Not pure B2B but highly aligned with eldercare-cost and state-by-state data.</t>
  </si>
  <si>
    <t>Candidate - verify editorial model</t>
  </si>
  <si>
    <t>Caregiving.com</t>
  </si>
  <si>
    <t>https://www.caregiving.com/</t>
  </si>
  <si>
    <t>Caregiving media</t>
  </si>
  <si>
    <t>Family caregivers and caregiving professionals</t>
  </si>
  <si>
    <t>Caregiving experience, resources, workplace caregiving, support</t>
  </si>
  <si>
    <t>Digital/community</t>
  </si>
  <si>
    <t>Contributor-friendly historically; verify</t>
  </si>
  <si>
    <t>Strong distribution for caregiver burden, geography and economic-impact data.</t>
  </si>
  <si>
    <t>Candidate - verify current model</t>
  </si>
  <si>
    <t>DailyCaring</t>
  </si>
  <si>
    <t>https://dailycaring.com/</t>
  </si>
  <si>
    <t>Aging/caregiving media</t>
  </si>
  <si>
    <t>Family caregivers and senior-care ecosystem</t>
  </si>
  <si>
    <t>Caregiving, dementia, aging at home, senior living decisions</t>
  </si>
  <si>
    <t>Selective/partnership</t>
  </si>
  <si>
    <t>Consumer-heavy but sponsor-friendly audience around aging and care decisions.</t>
  </si>
  <si>
    <t>https://dailycaring.com/feed/</t>
  </si>
  <si>
    <t>Active site feed verified in current caregiver RSS directory.</t>
  </si>
  <si>
    <t>https://rss.feedspot.com/caregiver_rss_feeds/</t>
  </si>
  <si>
    <t>Senior Helpers News/Resources</t>
  </si>
  <si>
    <t>Senior Helpers</t>
  </si>
  <si>
    <t>https://www.seniorhelpers.com/resources/</t>
  </si>
  <si>
    <t>Home care brand media</t>
  </si>
  <si>
    <t>Home care professionals, families, franchise ecosystem</t>
  </si>
  <si>
    <t>Home care, caregiving, aging in place</t>
  </si>
  <si>
    <t>Brand content</t>
  </si>
  <si>
    <t>Brand partnership rather than editorial syndication</t>
  </si>
  <si>
    <t>More partner/sponsor prospect than independent publication.</t>
  </si>
  <si>
    <t>Candidate - partner prospect</t>
  </si>
  <si>
    <t>McKnight's Home Care</t>
  </si>
  <si>
    <t>https://www.mcknightshomecare.com/</t>
  </si>
  <si>
    <t>Home care trade</t>
  </si>
  <si>
    <t>Home care and home health executives</t>
  </si>
  <si>
    <t>Home care, home health, policy, workforce, technology</t>
  </si>
  <si>
    <t>High-priority if active as separate vertical; verify current branding/contact.</t>
  </si>
  <si>
    <t>Candidate - verify current</t>
  </si>
  <si>
    <t>No separate current public RSS endpoint surfaced; verify against McKnight's current product structure.</t>
  </si>
  <si>
    <t>Senior Trade Shows / Senior Living Foresight</t>
  </si>
  <si>
    <t>Foresight TV / Senior Living Foresight</t>
  </si>
  <si>
    <t>https://www.seniorlivingforesight.net/</t>
  </si>
  <si>
    <t>Senior living thought leadership</t>
  </si>
  <si>
    <t>Senior living executives, operators, vendors</t>
  </si>
  <si>
    <t>Leadership, innovation, operations, technology, marketing</t>
  </si>
  <si>
    <t>Digital/newsletter/podcast</t>
  </si>
  <si>
    <t>Contributor/partner friendly</t>
  </si>
  <si>
    <t>Potentially excellent relationship-driven syndication/guest content target.</t>
  </si>
  <si>
    <t>Podcast RSS: https://seniorlivingforesight.libsyn.com/rss</t>
  </si>
  <si>
    <t>Active podcast RSS is verified; site article RSS was not independently verified.</t>
  </si>
  <si>
    <t>https://www.podchaser.com/podcasts/foresight-radio-125257</t>
  </si>
  <si>
    <t>Senior Living Innovation Forum</t>
  </si>
  <si>
    <t>Influence Group</t>
  </si>
  <si>
    <t>https://seniorlivinginnovationforum.com/</t>
  </si>
  <si>
    <t>Senior living executive community</t>
  </si>
  <si>
    <t>Senior living owner/operator executives and vendors</t>
  </si>
  <si>
    <t>Innovation, technology, design, operations, resident experience</t>
  </si>
  <si>
    <t>Events/content</t>
  </si>
  <si>
    <t>Partner/sponsored content</t>
  </si>
  <si>
    <t>More event/content partnership than traditional newsroom, but high-value executive audience.</t>
  </si>
  <si>
    <t>NIC Insider / NIC Notes</t>
  </si>
  <si>
    <t>National Investment Center for Seniors Housing &amp; Care</t>
  </si>
  <si>
    <t>https://www.nic.org/</t>
  </si>
  <si>
    <t>Senior housing research/finance</t>
  </si>
  <si>
    <t>Senior housing investors, owners, operators, lenders</t>
  </si>
  <si>
    <t>Market data, occupancy, development, capital markets, transactions</t>
  </si>
  <si>
    <t>Research/blog/newsletters</t>
  </si>
  <si>
    <t>Large within niche</t>
  </si>
  <si>
    <t>Original research institution; partnership more likely</t>
  </si>
  <si>
    <t>Essential industry data authority and possible research collaborator/source amplifier.</t>
  </si>
  <si>
    <t>NIC currently directs users to email subscriptions; no public RSS surfaced.</t>
  </si>
  <si>
    <t>https://www.nic.org/subscribe/</t>
  </si>
  <si>
    <t>ASHA Special Issue / Research</t>
  </si>
  <si>
    <t>American Seniors Housing Association</t>
  </si>
  <si>
    <t>https://www.ashaliving.org/</t>
  </si>
  <si>
    <t>Senior housing association</t>
  </si>
  <si>
    <t>Senior housing owners, operators, developers, investors</t>
  </si>
  <si>
    <t>Consumer research, senior housing economics, operations, policy</t>
  </si>
  <si>
    <t>Research/association media</t>
  </si>
  <si>
    <t>Association/partnership</t>
  </si>
  <si>
    <t>Very relevant for sponsored research collaboration or data amplification.</t>
  </si>
  <si>
    <t>LeadingAge Ziegler 200 / Research</t>
  </si>
  <si>
    <t>LeadingAge / Ziegler</t>
  </si>
  <si>
    <t>Senior living nonprofit research</t>
  </si>
  <si>
    <t>Nonprofit senior living and aging-services executives</t>
  </si>
  <si>
    <t>Provider rankings, finance, growth, operations</t>
  </si>
  <si>
    <t>Research/report media</t>
  </si>
  <si>
    <t>Partnership/association editorial</t>
  </si>
  <si>
    <t>Good model/benchmark for proprietary datasets; less a classic newsroom prospect.</t>
  </si>
  <si>
    <t>LeadingAge currently directs users to email/My.LeadingAge subscriptions.</t>
  </si>
  <si>
    <t>Food Management</t>
  </si>
  <si>
    <t>Informa</t>
  </si>
  <si>
    <t>https://www.food-management.com/</t>
  </si>
  <si>
    <t>Foodservice B2B</t>
  </si>
  <si>
    <t>Noncommercial foodservice leaders incl. healthcare/senior care</t>
  </si>
  <si>
    <t>Foodservice operations, menus, labor, procurement, healthcare dining</t>
  </si>
  <si>
    <t>Angle-dependent: senior dining costs, nutrition preferences, labor or procurement data.</t>
  </si>
  <si>
    <t>Multiple official feeds</t>
  </si>
  <si>
    <t>Official Food Management RSS page lists Most Recent Articles, News Briefs, Business Topics and other feeds.</t>
  </si>
  <si>
    <t>https://www.foodservicedirector.com/foodservice-industries/rss-feeds-food-management</t>
  </si>
  <si>
    <t>FoodService Director</t>
  </si>
  <si>
    <t>Winsight</t>
  </si>
  <si>
    <t>https://www.foodservicedirector.com/</t>
  </si>
  <si>
    <t>Noncommercial foodservice executives</t>
  </si>
  <si>
    <t>Operations, labor, menus, institutional dining</t>
  </si>
  <si>
    <t>Only worth targeting for senior-living dining/foodservice-specific research.</t>
  </si>
  <si>
    <t>No separate public RSS endpoint surfaced in current research.</t>
  </si>
  <si>
    <t>McKnight's Tech Daily</t>
  </si>
  <si>
    <t>Haymarket Media / McKnight's</t>
  </si>
  <si>
    <t>Senior care technology</t>
  </si>
  <si>
    <t>Senior care executives and technology decision-makers</t>
  </si>
  <si>
    <t>Technology, AI, cybersecurity, health IT in senior care</t>
  </si>
  <si>
    <t>Newsletter/digital</t>
  </si>
  <si>
    <t>Good for age-tech, AI adoption, cybersecurity or resident-tech datasets.</t>
  </si>
  <si>
    <t>Candidate - verify active product</t>
  </si>
  <si>
    <t>No current product-specific RSS endpoint surfaced; verify within McKnight's current feed structure.</t>
  </si>
  <si>
    <t>AgeTech Collaborative / AARP Innovation</t>
  </si>
  <si>
    <t>https://agetechcollaborative.org/</t>
  </si>
  <si>
    <t>Age-tech ecosystem</t>
  </si>
  <si>
    <t>Startups, investors, enterprises serving older adults</t>
  </si>
  <si>
    <t>U.S./Global</t>
  </si>
  <si>
    <t>Age-tech, innovation, longevity economy, caregiving, accessibility</t>
  </si>
  <si>
    <t>Platform/content/events</t>
  </si>
  <si>
    <t>Partnership/content collaboration</t>
  </si>
  <si>
    <t>Excellent for innovation-focused aging datasets and sponsor ecosystem development.</t>
  </si>
  <si>
    <t>Longevity.Technology</t>
  </si>
  <si>
    <t>First Longevity</t>
  </si>
  <si>
    <t>https://longevity.technology/</t>
  </si>
  <si>
    <t>Longevity industry media</t>
  </si>
  <si>
    <t>Longevity biotech, investors, founders, researchers</t>
  </si>
  <si>
    <t>Global</t>
  </si>
  <si>
    <t>Longevity science, biotech, investing, healthspan</t>
  </si>
  <si>
    <t>Digital/newsletters/reports</t>
  </si>
  <si>
    <t>Selective/contributed/commercial</t>
  </si>
  <si>
    <t>More biotech than senior living, but useful for broader longevity-economy stories.</t>
  </si>
  <si>
    <t>RSS feeds available</t>
  </si>
  <si>
    <t>Publisher's copyright policy explicitly confirms it currently publishes RSS feeds with headlines and teaser text.</t>
  </si>
  <si>
    <t>https://longevity.technology/copyright-policy/</t>
  </si>
  <si>
    <t>Longevity Global / Longevity Business Review</t>
  </si>
  <si>
    <t>Longevity-focused media</t>
  </si>
  <si>
    <t>Longevity business</t>
  </si>
  <si>
    <t>Investors, founders, longevity ecosystem</t>
  </si>
  <si>
    <t>Longevity economy, investment, healthspan</t>
  </si>
  <si>
    <t>Verify</t>
  </si>
  <si>
    <t>Exploratory adjacent target; verify exact current publication before outreach.</t>
  </si>
  <si>
    <t>RSS feeds available via Longevity.Technology</t>
  </si>
  <si>
    <t>Same underlying publisher/site; RSS availability confirmed by publisher policy.</t>
  </si>
  <si>
    <t>Workspan Daily</t>
  </si>
  <si>
    <t>WorldatWork</t>
  </si>
  <si>
    <t>https://worldatwork.org/</t>
  </si>
  <si>
    <t>HR/total rewards B2B</t>
  </si>
  <si>
    <t>HR, benefits and total-rewards leaders</t>
  </si>
  <si>
    <t>Benefits, compensation, workforce, caregiving, retirement</t>
  </si>
  <si>
    <t>Association media/newsletters</t>
  </si>
  <si>
    <t>Large within HR</t>
  </si>
  <si>
    <t>Good for aging workforce and employer caregiving-support data.</t>
  </si>
  <si>
    <t>HR Dive</t>
  </si>
  <si>
    <t>https://www.hrdive.com/</t>
  </si>
  <si>
    <t>HR B2B</t>
  </si>
  <si>
    <t>HR executives and people leaders</t>
  </si>
  <si>
    <t>Workforce, benefits, labor, employee experience, demographics</t>
  </si>
  <si>
    <t>Strong for experienced-worker, caregiving and demographic workforce data.</t>
  </si>
  <si>
    <t>https://www.hrdive.com/feeds/news/</t>
  </si>
  <si>
    <t>Main news feed verified in current HR RSS directory.</t>
  </si>
  <si>
    <t>https://rss.feedspot.com/hr_news_rss_feeds/</t>
  </si>
  <si>
    <t>SHRM HR News</t>
  </si>
  <si>
    <t>SHRM</t>
  </si>
  <si>
    <t>https://www.shrm.org/topics-tools/news</t>
  </si>
  <si>
    <t>HR association media</t>
  </si>
  <si>
    <t>HR professionals and executives</t>
  </si>
  <si>
    <t>Workforce, benefits, employment law, demographics, caregiving</t>
  </si>
  <si>
    <t>Digital/newsletters/magazine</t>
  </si>
  <si>
    <t>Selective/association</t>
  </si>
  <si>
    <t>High reach but competitive; strongest for aging workforce and caregiver-employer implications.</t>
  </si>
  <si>
    <t>Current HR RSS directories list SHRM News as an RSS feed.</t>
  </si>
  <si>
    <t>Route Fifty</t>
  </si>
  <si>
    <t>GovExec</t>
  </si>
  <si>
    <t>https://www.route-fifty.com/</t>
  </si>
  <si>
    <t>State/local government B2B</t>
  </si>
  <si>
    <t>State and local government leaders</t>
  </si>
  <si>
    <t>Demographics, public policy, infrastructure, social services, budgets</t>
  </si>
  <si>
    <t>Excellent wildcard for state/local aging infrastructure, rural access and demographic pressure stories.</t>
  </si>
  <si>
    <t>RSS available via site</t>
  </si>
  <si>
    <t>Official Route Fifty pages explicitly link to RSS.</t>
  </si>
  <si>
    <t>https://www.route-fifty.com/about/</t>
  </si>
  <si>
    <t>Governing</t>
  </si>
  <si>
    <t>e.Republic</t>
  </si>
  <si>
    <t>https://www.governing.com/</t>
  </si>
  <si>
    <t>State/local officials and policy professionals</t>
  </si>
  <si>
    <t>Demographics, housing, health, social services, transportation, public finance</t>
  </si>
  <si>
    <t>Strong for aging-in-place infrastructure and county/state demographic rankings.</t>
  </si>
  <si>
    <t>StateScoop</t>
  </si>
  <si>
    <t>Scoop News Group</t>
  </si>
  <si>
    <t>https://statescoop.com/</t>
  </si>
  <si>
    <t>State government technology</t>
  </si>
  <si>
    <t>State/local government technology leaders</t>
  </si>
  <si>
    <t>Government tech, digital services, data, health/human services</t>
  </si>
  <si>
    <t>Angle-dependent; potential for technology supporting aging services.</t>
  </si>
  <si>
    <t>RSS news feed available</t>
  </si>
  <si>
    <t>StateScoop explicitly offers an RSS news feed.</t>
  </si>
  <si>
    <t>https://statescoop.com/welcome-to-statescoop/</t>
  </si>
  <si>
    <t>Nonprofit Quarterly</t>
  </si>
  <si>
    <t>https://nonprofitquarterly.org/</t>
  </si>
  <si>
    <t>Nonprofit sector B2B</t>
  </si>
  <si>
    <t>Nonprofit executives, funders, civic leaders</t>
  </si>
  <si>
    <t>Nonprofit management, social policy, philanthropy, community systems</t>
  </si>
  <si>
    <t>Useful for nonprofit aging-services capacity and community-impact research.</t>
  </si>
  <si>
    <t>Current nonprofit RSS directories list NPQ; NPQ has historically exposed RSS subscriptions.</t>
  </si>
  <si>
    <t>https://rss.feedspot.com/nonprofit_news_rss_feeds/</t>
  </si>
  <si>
    <t>The NonProfit Times</t>
  </si>
  <si>
    <t>https://thenonprofittimes.com/</t>
  </si>
  <si>
    <t>Nonprofit management B2B</t>
  </si>
  <si>
    <t>Nonprofit executives and fundraisers</t>
  </si>
  <si>
    <t>Management, fundraising, workforce, technology, sector trends</t>
  </si>
  <si>
    <t>Potential for aging-services nonprofit workforce/funding research.</t>
  </si>
  <si>
    <t>Listed in current nonprofit/fundraising RSS directories.</t>
  </si>
  <si>
    <t>Rank</t>
  </si>
  <si>
    <t>Tier</t>
  </si>
  <si>
    <t>Syndication</t>
  </si>
  <si>
    <t>Audience Fit</t>
  </si>
  <si>
    <t>Data Fit</t>
  </si>
  <si>
    <t>Access</t>
  </si>
  <si>
    <t>Best Pitch Angle</t>
  </si>
  <si>
    <t>Tier 1</t>
  </si>
  <si>
    <t>Tier 2</t>
  </si>
  <si>
    <t>Publications</t>
  </si>
  <si>
    <t>Avg Score</t>
  </si>
  <si>
    <t>Top Score</t>
  </si>
  <si>
    <t>Tier 1 Count</t>
  </si>
  <si>
    <t>Tier 2 Count</t>
  </si>
  <si>
    <t>Field</t>
  </si>
  <si>
    <t>How to interpret it</t>
  </si>
  <si>
    <t>AgingWire / HealthWire Publisher Prospecting Database</t>
  </si>
  <si>
    <t>5 = likely relationship/contributor-friendly or strong syndication fit; 1 = highly closed/research institution/poor fit.</t>
  </si>
  <si>
    <t>Metric</t>
  </si>
  <si>
    <t>Value</t>
  </si>
  <si>
    <t>5 = core audience directly buys, operates, funds or shapes senior living/aging services; 1 = weak adjacency.</t>
  </si>
  <si>
    <t>Total publications</t>
  </si>
  <si>
    <t>5 = outlet routinely uses reports, rankings, benchmarks, market data or geographically segmented findings.</t>
  </si>
  <si>
    <t>Tier 1 targets</t>
  </si>
  <si>
    <t>5 = smaller/relationship-driven/contributor-friendly; 1 = highly competitive or association/research gatekeeping.</t>
  </si>
  <si>
    <t>Tier 2 targets</t>
  </si>
  <si>
    <t>Sum of the four 1-5 scores; maximum 20.</t>
  </si>
  <si>
    <t>Top score</t>
  </si>
  <si>
    <t>17-20: immediate outreach targets.</t>
  </si>
  <si>
    <t>14-16: strong second-wave prospects.</t>
  </si>
  <si>
    <t>Tier 3</t>
  </si>
  <si>
    <t>11-13: angle-dependent prospects.</t>
  </si>
  <si>
    <t>Tier 4</t>
  </si>
  <si>
    <t>10 or below: low-priority adjacency or partnership-only prospects.</t>
  </si>
  <si>
    <t>Directional assessment, not audited circulation. Use Audience / Reach Signal when a sourced number is available.</t>
  </si>
  <si>
    <t>'Verified current' means the publication/current product was directly confirmed in this research pass. Candidate rows should be contact-verified before outreach.</t>
  </si>
  <si>
    <t>Recommended use</t>
  </si>
  <si>
    <t>Start with Tier 1 and Tier 2. Build separate pitch variants for senior-living operations, aging services/policy, real estate, home care, healthcare, and retirement/workforce.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</si>
</sst>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4" borderId="0" xfId="0" applyFont="1" applyFill="1" applyAlignment="1">
      <alignment wrapText="1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color rgb="FF666666"/>
      </font>
      <fill>
        <patternFill patternType="solid">
          <bgColor rgb="FFF2F2F2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color rgb="FF666666"/>
      </font>
      <fill>
        <patternFill patternType="solid">
          <bgColor rgb="FFF2F2F2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Publisher universe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Publications</c:v>
          </c:tx>
          <c:invertIfNegative val="1"/>
          <c:cat>
            <c:strRef>
              <c:f>'Category Summary'!$A$2:$A$16</c:f>
              <c:strCache>
                <c:ptCount val="15"/>
                <c:pt idx="0">
                  <c:v>Senior living thought leadership</c:v>
                </c:pt>
                <c:pt idx="1">
                  <c:v>Senior living trade</c:v>
                </c:pt>
                <c:pt idx="2">
                  <c:v>Aging professional / policy</c:v>
                </c:pt>
                <c:pt idx="3">
                  <c:v>Long-term care trade</c:v>
                </c:pt>
                <c:pt idx="4">
                  <c:v>Senior housing real estate</c:v>
                </c:pt>
                <c:pt idx="5">
                  <c:v>Home care trade</c:v>
                </c:pt>
                <c:pt idx="6">
                  <c:v>Home care/home health trade</c:v>
                </c:pt>
                <c:pt idx="7">
                  <c:v>Skilled nursing trade</c:v>
                </c:pt>
                <c:pt idx="8">
                  <c:v>Aging-focused media</c:v>
                </c:pt>
                <c:pt idx="9">
                  <c:v>Caregiving media</c:v>
                </c:pt>
                <c:pt idx="10">
                  <c:v>Home care/HME trade</c:v>
                </c:pt>
                <c:pt idx="11">
                  <c:v>Insurance/retirement B2B</c:v>
                </c:pt>
                <c:pt idx="12">
                  <c:v>Long-term care/insurance media</c:v>
                </c:pt>
                <c:pt idx="13">
                  <c:v>Senior care trade</c:v>
                </c:pt>
                <c:pt idx="14">
                  <c:v>Commercial real estate</c:v>
                </c:pt>
              </c:strCache>
            </c:strRef>
          </c:cat>
          <c:val>
            <c:numRef>
              <c:f>'Category Summary'!$B$2:$B$16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C-F74E-8114-D5AC57479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ublisherDatabase" displayName="PublisherDatabase" ref="A1:U76" totalsRowShown="0">
  <autoFilter ref="A1:U76" xr:uid="{00000000-000C-0000-FFFF-FFFF00000000}"/>
  <sortState xmlns:xlrd2="http://schemas.microsoft.com/office/spreadsheetml/2017/richdata2" ref="A2:U76">
    <sortCondition ref="D1:D76"/>
  </sortState>
  <tableColumns count="21">
    <tableColumn id="1" xr3:uid="{00000000-0010-0000-0000-000001000000}" name="Publication"/>
    <tableColumn id="2" xr3:uid="{00000000-0010-0000-0000-000002000000}" name="Parent / Association"/>
    <tableColumn id="3" xr3:uid="{00000000-0010-0000-0000-000003000000}" name="Website"/>
    <tableColumn id="4" xr3:uid="{00000000-0010-0000-0000-000004000000}" name="Category"/>
    <tableColumn id="5" xr3:uid="{00000000-0010-0000-0000-000005000000}" name="Primary Audience"/>
    <tableColumn id="6" xr3:uid="{00000000-0010-0000-0000-000006000000}" name="Audience / Reach Signal"/>
    <tableColumn id="7" xr3:uid="{00000000-0010-0000-0000-000007000000}" name="Core Coverage"/>
    <tableColumn id="8" xr3:uid="{00000000-0010-0000-0000-000008000000}" name="Formats"/>
    <tableColumn id="9" xr3:uid="{00000000-0010-0000-0000-000009000000}" name="Estimated Size Band"/>
    <tableColumn id="10" xr3:uid="{00000000-0010-0000-0000-00000A000000}" name="Original Data Fit"/>
    <tableColumn id="11" xr3:uid="{00000000-0010-0000-0000-00000B000000}" name="Contributed / Syndication Signal"/>
    <tableColumn id="12" xr3:uid="{00000000-0010-0000-0000-00000C000000}" name="Syndication Likelihood (1-5)"/>
    <tableColumn id="13" xr3:uid="{00000000-0010-0000-0000-00000D000000}" name="Audience Fit (1-5)"/>
    <tableColumn id="14" xr3:uid="{00000000-0010-0000-0000-00000E000000}" name="Data-Story Fit (1-5)"/>
    <tableColumn id="15" xr3:uid="{00000000-0010-0000-0000-00000F000000}" name="Access / Relationship Potential (1-5)"/>
    <tableColumn id="16" xr3:uid="{00000000-0010-0000-0000-000010000000}" name="Total Score"/>
    <tableColumn id="17" xr3:uid="{00000000-0010-0000-0000-000011000000}" name="Priority Tier"/>
    <tableColumn id="18" xr3:uid="{00000000-0010-0000-0000-000012000000}" name="Why It Matters / Pitch Angle"/>
    <tableColumn id="19" xr3:uid="{00000000-0010-0000-0000-000013000000}" name="Source URL"/>
    <tableColumn id="20" xr3:uid="{00000000-0010-0000-0000-000014000000}" name="Research Status"/>
    <tableColumn id="21" xr3:uid="{00000000-0010-0000-0000-000015000000}" name="Verified / Compil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orityTargets" displayName="PriorityTargets" ref="A1:M31" totalsRowShown="0">
  <tableColumns count="13">
    <tableColumn id="1" xr3:uid="{00000000-0010-0000-0100-000001000000}" name="Rank"/>
    <tableColumn id="2" xr3:uid="{00000000-0010-0000-0100-000002000000}" name="Publication"/>
    <tableColumn id="3" xr3:uid="{00000000-0010-0000-0100-000003000000}" name="Category"/>
    <tableColumn id="4" xr3:uid="{00000000-0010-0000-0100-000004000000}" name="Primary Audience"/>
    <tableColumn id="5" xr3:uid="{00000000-0010-0000-0100-000005000000}" name="Website"/>
    <tableColumn id="6" xr3:uid="{00000000-0010-0000-0100-000006000000}" name="Total Score"/>
    <tableColumn id="7" xr3:uid="{00000000-0010-0000-0100-000007000000}" name="Tier"/>
    <tableColumn id="8" xr3:uid="{00000000-0010-0000-0100-000008000000}" name="Syndication"/>
    <tableColumn id="9" xr3:uid="{00000000-0010-0000-0100-000009000000}" name="Audience Fit"/>
    <tableColumn id="10" xr3:uid="{00000000-0010-0000-0100-00000A000000}" name="Data Fit"/>
    <tableColumn id="11" xr3:uid="{00000000-0010-0000-0100-00000B000000}" name="Access"/>
    <tableColumn id="12" xr3:uid="{00000000-0010-0000-0100-00000C000000}" name="Best Pitch Angle"/>
    <tableColumn id="13" xr3:uid="{00000000-0010-0000-0100-00000D000000}" name="Research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Summary" displayName="CategorySummary" ref="A1:F64" totalsRowShown="0">
  <tableColumns count="6">
    <tableColumn id="1" xr3:uid="{00000000-0010-0000-0200-000001000000}" name="Category"/>
    <tableColumn id="2" xr3:uid="{00000000-0010-0000-0200-000002000000}" name="Publications"/>
    <tableColumn id="3" xr3:uid="{00000000-0010-0000-0200-000003000000}" name="Avg Score"/>
    <tableColumn id="4" xr3:uid="{00000000-0010-0000-0200-000004000000}" name="Top Score"/>
    <tableColumn id="5" xr3:uid="{00000000-0010-0000-0200-000005000000}" name="Tier 1 Count"/>
    <tableColumn id="6" xr3:uid="{00000000-0010-0000-0200-000006000000}" name="Tier 2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tabSelected="1" topLeftCell="A3" workbookViewId="0">
      <selection activeCell="A19" sqref="A19:XFD23"/>
    </sheetView>
  </sheetViews>
  <sheetFormatPr baseColWidth="10" defaultColWidth="8.83203125" defaultRowHeight="14"/>
  <cols>
    <col min="1" max="1" width="24" customWidth="1"/>
    <col min="2" max="2" width="22" customWidth="1"/>
    <col min="3" max="3" width="30" customWidth="1"/>
    <col min="4" max="4" width="23" customWidth="1"/>
    <col min="5" max="5" width="34" customWidth="1"/>
    <col min="6" max="6" width="30" customWidth="1"/>
    <col min="7" max="7" width="38" customWidth="1"/>
    <col min="8" max="8" width="23" customWidth="1"/>
    <col min="9" max="9" width="18" customWidth="1"/>
    <col min="10" max="10" width="17" customWidth="1"/>
    <col min="11" max="11" width="30" customWidth="1"/>
    <col min="12" max="12" width="14" customWidth="1"/>
    <col min="13" max="14" width="13" customWidth="1"/>
    <col min="15" max="15" width="17" customWidth="1"/>
    <col min="16" max="17" width="12" customWidth="1"/>
    <col min="18" max="18" width="45" customWidth="1"/>
    <col min="19" max="19" width="32" customWidth="1"/>
    <col min="20" max="20" width="23" customWidth="1"/>
    <col min="21" max="21" width="16" customWidth="1"/>
    <col min="22" max="22" width="14" customWidth="1"/>
    <col min="23" max="23" width="38" customWidth="1"/>
    <col min="24" max="24" width="46" customWidth="1"/>
    <col min="25" max="25" width="42" customWidth="1"/>
    <col min="26" max="26" width="14" customWidth="1"/>
  </cols>
  <sheetData>
    <row r="1" spans="1:26" ht="4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31">
      <c r="A2" s="2" t="s">
        <v>666</v>
      </c>
      <c r="B2" s="2" t="s">
        <v>246</v>
      </c>
      <c r="C2" s="2" t="s">
        <v>667</v>
      </c>
      <c r="D2" s="2" t="s">
        <v>668</v>
      </c>
      <c r="E2" s="2" t="s">
        <v>669</v>
      </c>
      <c r="F2" s="2" t="s">
        <v>670</v>
      </c>
      <c r="G2" s="2" t="s">
        <v>671</v>
      </c>
      <c r="H2" s="2" t="s">
        <v>672</v>
      </c>
      <c r="I2" s="2" t="s">
        <v>72</v>
      </c>
      <c r="J2" s="2" t="s">
        <v>35</v>
      </c>
      <c r="K2" s="2" t="s">
        <v>673</v>
      </c>
      <c r="L2" s="3">
        <v>3</v>
      </c>
      <c r="M2" s="3">
        <v>4</v>
      </c>
      <c r="N2" s="3">
        <v>5</v>
      </c>
      <c r="O2" s="3">
        <v>3</v>
      </c>
      <c r="P2" s="3">
        <f>SUM(L2:O2)</f>
        <v>15</v>
      </c>
      <c r="Q2" s="3" t="str">
        <f>IF(P2&gt;=17,"Tier 1",IF(P2&gt;=14,"Tier 2",IF(P2&gt;=11,"Tier 3","Tier 4")))</f>
        <v>Tier 2</v>
      </c>
      <c r="R2" s="2" t="s">
        <v>674</v>
      </c>
      <c r="S2" s="2" t="s">
        <v>667</v>
      </c>
      <c r="T2" s="2" t="s">
        <v>255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39</v>
      </c>
    </row>
    <row r="3" spans="1:26" ht="46">
      <c r="A3" s="2" t="s">
        <v>228</v>
      </c>
      <c r="B3" s="2" t="s">
        <v>229</v>
      </c>
      <c r="C3" s="2" t="s">
        <v>230</v>
      </c>
      <c r="D3" s="2" t="s">
        <v>231</v>
      </c>
      <c r="E3" s="2" t="s">
        <v>232</v>
      </c>
      <c r="F3" s="2" t="s">
        <v>31</v>
      </c>
      <c r="G3" s="2" t="s">
        <v>233</v>
      </c>
      <c r="H3" s="2" t="s">
        <v>234</v>
      </c>
      <c r="I3" s="2" t="s">
        <v>235</v>
      </c>
      <c r="J3" s="2" t="s">
        <v>152</v>
      </c>
      <c r="K3" s="2" t="s">
        <v>236</v>
      </c>
      <c r="L3" s="3">
        <v>2</v>
      </c>
      <c r="M3" s="3">
        <v>4</v>
      </c>
      <c r="N3" s="3">
        <v>4</v>
      </c>
      <c r="O3" s="3">
        <v>2</v>
      </c>
      <c r="P3" s="3">
        <f>SUM(L3:O3)</f>
        <v>12</v>
      </c>
      <c r="Q3" s="3" t="str">
        <f>IF(P3&gt;=17,"Tier 1",IF(P3&gt;=14,"Tier 2",IF(P3&gt;=11,"Tier 3","Tier 4")))</f>
        <v>Tier 3</v>
      </c>
      <c r="R3" s="2" t="s">
        <v>237</v>
      </c>
      <c r="S3" s="2" t="s">
        <v>238</v>
      </c>
      <c r="T3" s="2" t="s">
        <v>38</v>
      </c>
      <c r="U3" s="2" t="s">
        <v>39</v>
      </c>
      <c r="V3" s="2" t="s">
        <v>40</v>
      </c>
      <c r="W3" s="2" t="s">
        <v>53</v>
      </c>
      <c r="X3" s="2" t="s">
        <v>54</v>
      </c>
      <c r="Y3" s="2" t="s">
        <v>43</v>
      </c>
      <c r="Z3" s="2" t="s">
        <v>39</v>
      </c>
    </row>
    <row r="4" spans="1:26" ht="30">
      <c r="A4" s="2" t="s">
        <v>275</v>
      </c>
      <c r="B4" s="2" t="s">
        <v>276</v>
      </c>
      <c r="C4" s="2" t="s">
        <v>277</v>
      </c>
      <c r="D4" s="2" t="s">
        <v>278</v>
      </c>
      <c r="E4" s="2" t="s">
        <v>279</v>
      </c>
      <c r="F4" s="2" t="s">
        <v>31</v>
      </c>
      <c r="G4" s="2" t="s">
        <v>280</v>
      </c>
      <c r="H4" s="2" t="s">
        <v>281</v>
      </c>
      <c r="I4" s="2" t="s">
        <v>34</v>
      </c>
      <c r="J4" s="2" t="s">
        <v>35</v>
      </c>
      <c r="K4" s="2" t="s">
        <v>282</v>
      </c>
      <c r="L4" s="3">
        <v>3</v>
      </c>
      <c r="M4" s="3">
        <v>4</v>
      </c>
      <c r="N4" s="3">
        <v>5</v>
      </c>
      <c r="O4" s="3">
        <v>2</v>
      </c>
      <c r="P4" s="3">
        <f>SUM(L4:O4)</f>
        <v>14</v>
      </c>
      <c r="Q4" s="3" t="str">
        <f>IF(P4&gt;=17,"Tier 1",IF(P4&gt;=14,"Tier 2",IF(P4&gt;=11,"Tier 3","Tier 4")))</f>
        <v>Tier 2</v>
      </c>
      <c r="R4" s="2" t="s">
        <v>283</v>
      </c>
      <c r="S4" s="2" t="s">
        <v>277</v>
      </c>
      <c r="T4" s="2" t="s">
        <v>255</v>
      </c>
      <c r="U4" s="2" t="s">
        <v>39</v>
      </c>
      <c r="V4" s="2" t="s">
        <v>64</v>
      </c>
      <c r="W4" s="2"/>
      <c r="X4" s="2" t="s">
        <v>65</v>
      </c>
      <c r="Y4" s="2" t="s">
        <v>66</v>
      </c>
      <c r="Z4" s="2" t="s">
        <v>39</v>
      </c>
    </row>
    <row r="5" spans="1:26" ht="46">
      <c r="A5" s="2" t="s">
        <v>245</v>
      </c>
      <c r="B5" s="2" t="s">
        <v>246</v>
      </c>
      <c r="C5" s="2" t="s">
        <v>247</v>
      </c>
      <c r="D5" s="2" t="s">
        <v>248</v>
      </c>
      <c r="E5" s="2" t="s">
        <v>249</v>
      </c>
      <c r="F5" s="2" t="s">
        <v>31</v>
      </c>
      <c r="G5" s="2" t="s">
        <v>250</v>
      </c>
      <c r="H5" s="2" t="s">
        <v>251</v>
      </c>
      <c r="I5" s="2" t="s">
        <v>252</v>
      </c>
      <c r="J5" s="2" t="s">
        <v>35</v>
      </c>
      <c r="K5" s="2" t="s">
        <v>253</v>
      </c>
      <c r="L5" s="3">
        <v>2</v>
      </c>
      <c r="M5" s="3">
        <v>5</v>
      </c>
      <c r="N5" s="3">
        <v>5</v>
      </c>
      <c r="O5" s="3">
        <v>1</v>
      </c>
      <c r="P5" s="3">
        <f>SUM(L5:O5)</f>
        <v>13</v>
      </c>
      <c r="Q5" s="3" t="str">
        <f>IF(P5&gt;=17,"Tier 1",IF(P5&gt;=14,"Tier 2",IF(P5&gt;=11,"Tier 3","Tier 4")))</f>
        <v>Tier 3</v>
      </c>
      <c r="R5" s="2" t="s">
        <v>254</v>
      </c>
      <c r="S5" s="2" t="s">
        <v>247</v>
      </c>
      <c r="T5" s="2" t="s">
        <v>255</v>
      </c>
      <c r="U5" s="2" t="s">
        <v>39</v>
      </c>
      <c r="V5" s="2" t="s">
        <v>40</v>
      </c>
      <c r="W5" s="2" t="s">
        <v>53</v>
      </c>
      <c r="X5" s="2" t="s">
        <v>75</v>
      </c>
      <c r="Y5" s="2" t="s">
        <v>76</v>
      </c>
      <c r="Z5" s="2" t="s">
        <v>39</v>
      </c>
    </row>
    <row r="6" spans="1:26" ht="45">
      <c r="A6" s="2" t="s">
        <v>199</v>
      </c>
      <c r="B6" s="2" t="s">
        <v>200</v>
      </c>
      <c r="C6" s="2" t="s">
        <v>201</v>
      </c>
      <c r="D6" s="2" t="s">
        <v>202</v>
      </c>
      <c r="E6" s="2" t="s">
        <v>203</v>
      </c>
      <c r="F6" s="2" t="s">
        <v>31</v>
      </c>
      <c r="G6" s="2" t="s">
        <v>204</v>
      </c>
      <c r="H6" s="2" t="s">
        <v>205</v>
      </c>
      <c r="I6" s="2" t="s">
        <v>72</v>
      </c>
      <c r="J6" s="2" t="s">
        <v>35</v>
      </c>
      <c r="K6" s="2" t="s">
        <v>206</v>
      </c>
      <c r="L6" s="3">
        <v>3</v>
      </c>
      <c r="M6" s="3">
        <v>5</v>
      </c>
      <c r="N6" s="3">
        <v>5</v>
      </c>
      <c r="O6" s="3">
        <v>2</v>
      </c>
      <c r="P6" s="3">
        <f>SUM(L6:O6)</f>
        <v>15</v>
      </c>
      <c r="Q6" s="3" t="str">
        <f>IF(P6&gt;=17,"Tier 1",IF(P6&gt;=14,"Tier 2",IF(P6&gt;=11,"Tier 3","Tier 4")))</f>
        <v>Tier 2</v>
      </c>
      <c r="R6" s="2" t="s">
        <v>207</v>
      </c>
      <c r="S6" s="2" t="s">
        <v>201</v>
      </c>
      <c r="T6" s="2" t="s">
        <v>38</v>
      </c>
      <c r="U6" s="2" t="s">
        <v>39</v>
      </c>
      <c r="V6" s="2" t="s">
        <v>64</v>
      </c>
      <c r="W6" s="2"/>
      <c r="X6" s="2" t="s">
        <v>86</v>
      </c>
      <c r="Y6" s="2" t="s">
        <v>87</v>
      </c>
      <c r="Z6" s="2" t="s">
        <v>39</v>
      </c>
    </row>
    <row r="7" spans="1:26" ht="45">
      <c r="A7" s="2" t="s">
        <v>210</v>
      </c>
      <c r="B7" s="2" t="s">
        <v>200</v>
      </c>
      <c r="C7" s="2" t="s">
        <v>211</v>
      </c>
      <c r="D7" s="2" t="s">
        <v>202</v>
      </c>
      <c r="E7" s="2" t="s">
        <v>212</v>
      </c>
      <c r="F7" s="2" t="s">
        <v>31</v>
      </c>
      <c r="G7" s="2" t="s">
        <v>213</v>
      </c>
      <c r="H7" s="2" t="s">
        <v>214</v>
      </c>
      <c r="I7" s="2" t="s">
        <v>72</v>
      </c>
      <c r="J7" s="2" t="s">
        <v>35</v>
      </c>
      <c r="K7" s="2" t="s">
        <v>215</v>
      </c>
      <c r="L7" s="3">
        <v>4</v>
      </c>
      <c r="M7" s="3">
        <v>5</v>
      </c>
      <c r="N7" s="3">
        <v>5</v>
      </c>
      <c r="O7" s="3">
        <v>3</v>
      </c>
      <c r="P7" s="3">
        <f>SUM(L7:O7)</f>
        <v>17</v>
      </c>
      <c r="Q7" s="3" t="str">
        <f>IF(P7&gt;=17,"Tier 1",IF(P7&gt;=14,"Tier 2",IF(P7&gt;=11,"Tier 3","Tier 4")))</f>
        <v>Tier 1</v>
      </c>
      <c r="R7" s="2" t="s">
        <v>216</v>
      </c>
      <c r="S7" s="2" t="s">
        <v>211</v>
      </c>
      <c r="T7" s="2" t="s">
        <v>38</v>
      </c>
      <c r="U7" s="2" t="s">
        <v>39</v>
      </c>
      <c r="V7" s="2" t="s">
        <v>64</v>
      </c>
      <c r="W7" s="2"/>
      <c r="X7" s="2" t="s">
        <v>86</v>
      </c>
      <c r="Y7" s="2" t="s">
        <v>87</v>
      </c>
      <c r="Z7" s="2" t="s">
        <v>39</v>
      </c>
    </row>
    <row r="8" spans="1:26" ht="30">
      <c r="A8" s="2" t="s">
        <v>200</v>
      </c>
      <c r="B8" s="2" t="s">
        <v>200</v>
      </c>
      <c r="C8" s="2" t="s">
        <v>268</v>
      </c>
      <c r="D8" s="2" t="s">
        <v>269</v>
      </c>
      <c r="E8" s="2" t="s">
        <v>270</v>
      </c>
      <c r="F8" s="2" t="s">
        <v>31</v>
      </c>
      <c r="G8" s="2" t="s">
        <v>271</v>
      </c>
      <c r="H8" s="2" t="s">
        <v>272</v>
      </c>
      <c r="I8" s="2" t="s">
        <v>62</v>
      </c>
      <c r="J8" s="2" t="s">
        <v>35</v>
      </c>
      <c r="K8" s="2" t="s">
        <v>94</v>
      </c>
      <c r="L8" s="3">
        <v>3</v>
      </c>
      <c r="M8" s="3">
        <v>5</v>
      </c>
      <c r="N8" s="3">
        <v>5</v>
      </c>
      <c r="O8" s="3">
        <v>2</v>
      </c>
      <c r="P8" s="3">
        <f>SUM(L8:O8)</f>
        <v>15</v>
      </c>
      <c r="Q8" s="3" t="str">
        <f>IF(P8&gt;=17,"Tier 1",IF(P8&gt;=14,"Tier 2",IF(P8&gt;=11,"Tier 3","Tier 4")))</f>
        <v>Tier 2</v>
      </c>
      <c r="R8" s="2" t="s">
        <v>273</v>
      </c>
      <c r="S8" s="2" t="s">
        <v>268</v>
      </c>
      <c r="T8" s="2" t="s">
        <v>255</v>
      </c>
      <c r="U8" s="2" t="s">
        <v>39</v>
      </c>
      <c r="V8" s="2" t="s">
        <v>64</v>
      </c>
      <c r="W8" s="2"/>
      <c r="X8" s="2" t="s">
        <v>107</v>
      </c>
      <c r="Y8" s="2" t="s">
        <v>98</v>
      </c>
      <c r="Z8" s="2" t="s">
        <v>39</v>
      </c>
    </row>
    <row r="9" spans="1:26" ht="30">
      <c r="A9" s="2" t="s">
        <v>285</v>
      </c>
      <c r="B9" s="2" t="s">
        <v>285</v>
      </c>
      <c r="C9" s="2" t="s">
        <v>286</v>
      </c>
      <c r="D9" s="2" t="s">
        <v>287</v>
      </c>
      <c r="E9" s="2" t="s">
        <v>288</v>
      </c>
      <c r="F9" s="2" t="s">
        <v>31</v>
      </c>
      <c r="G9" s="2" t="s">
        <v>289</v>
      </c>
      <c r="H9" s="2" t="s">
        <v>290</v>
      </c>
      <c r="I9" s="2" t="s">
        <v>72</v>
      </c>
      <c r="J9" s="2" t="s">
        <v>35</v>
      </c>
      <c r="K9" s="2" t="s">
        <v>94</v>
      </c>
      <c r="L9" s="3">
        <v>3</v>
      </c>
      <c r="M9" s="3">
        <v>5</v>
      </c>
      <c r="N9" s="3">
        <v>5</v>
      </c>
      <c r="O9" s="3">
        <v>2</v>
      </c>
      <c r="P9" s="3">
        <f>SUM(L9:O9)</f>
        <v>15</v>
      </c>
      <c r="Q9" s="3" t="str">
        <f>IF(P9&gt;=17,"Tier 1",IF(P9&gt;=14,"Tier 2",IF(P9&gt;=11,"Tier 3","Tier 4")))</f>
        <v>Tier 2</v>
      </c>
      <c r="R9" s="2" t="s">
        <v>291</v>
      </c>
      <c r="S9" s="2" t="s">
        <v>286</v>
      </c>
      <c r="T9" s="2" t="s">
        <v>255</v>
      </c>
      <c r="U9" s="2" t="s">
        <v>39</v>
      </c>
      <c r="V9" s="2" t="s">
        <v>64</v>
      </c>
      <c r="W9" s="2"/>
      <c r="X9" s="2" t="s">
        <v>114</v>
      </c>
      <c r="Y9" s="2"/>
      <c r="Z9" s="2" t="s">
        <v>39</v>
      </c>
    </row>
    <row r="10" spans="1:26" ht="46">
      <c r="A10" s="2" t="s">
        <v>219</v>
      </c>
      <c r="B10" s="2" t="s">
        <v>219</v>
      </c>
      <c r="C10" s="2" t="s">
        <v>220</v>
      </c>
      <c r="D10" s="2" t="s">
        <v>221</v>
      </c>
      <c r="E10" s="2" t="s">
        <v>222</v>
      </c>
      <c r="F10" s="2" t="s">
        <v>31</v>
      </c>
      <c r="G10" s="2" t="s">
        <v>223</v>
      </c>
      <c r="H10" s="2" t="s">
        <v>224</v>
      </c>
      <c r="I10" s="2" t="s">
        <v>34</v>
      </c>
      <c r="J10" s="2" t="s">
        <v>35</v>
      </c>
      <c r="K10" s="2" t="s">
        <v>94</v>
      </c>
      <c r="L10" s="3">
        <v>3</v>
      </c>
      <c r="M10" s="3">
        <v>5</v>
      </c>
      <c r="N10" s="3">
        <v>5</v>
      </c>
      <c r="O10" s="3">
        <v>2</v>
      </c>
      <c r="P10" s="3">
        <f>SUM(L10:O10)</f>
        <v>15</v>
      </c>
      <c r="Q10" s="3" t="str">
        <f>IF(P10&gt;=17,"Tier 1",IF(P10&gt;=14,"Tier 2",IF(P10&gt;=11,"Tier 3","Tier 4")))</f>
        <v>Tier 2</v>
      </c>
      <c r="R10" s="2" t="s">
        <v>225</v>
      </c>
      <c r="S10" s="2" t="s">
        <v>220</v>
      </c>
      <c r="T10" s="2" t="s">
        <v>38</v>
      </c>
      <c r="U10" s="2" t="s">
        <v>39</v>
      </c>
      <c r="V10" s="2" t="s">
        <v>40</v>
      </c>
      <c r="W10" s="2" t="s">
        <v>122</v>
      </c>
      <c r="X10" s="2" t="s">
        <v>123</v>
      </c>
      <c r="Y10" s="2" t="s">
        <v>124</v>
      </c>
      <c r="Z10" s="2" t="s">
        <v>39</v>
      </c>
    </row>
    <row r="11" spans="1:26" ht="31">
      <c r="A11" s="2" t="s">
        <v>292</v>
      </c>
      <c r="B11" s="2" t="s">
        <v>293</v>
      </c>
      <c r="C11" s="2" t="s">
        <v>294</v>
      </c>
      <c r="D11" s="2" t="s">
        <v>295</v>
      </c>
      <c r="E11" s="2" t="s">
        <v>296</v>
      </c>
      <c r="F11" s="2" t="s">
        <v>31</v>
      </c>
      <c r="G11" s="2" t="s">
        <v>297</v>
      </c>
      <c r="H11" s="2" t="s">
        <v>298</v>
      </c>
      <c r="I11" s="2" t="s">
        <v>163</v>
      </c>
      <c r="J11" s="2" t="s">
        <v>35</v>
      </c>
      <c r="K11" s="2" t="s">
        <v>299</v>
      </c>
      <c r="L11" s="3">
        <v>3</v>
      </c>
      <c r="M11" s="3">
        <v>4</v>
      </c>
      <c r="N11" s="3">
        <v>4</v>
      </c>
      <c r="O11" s="3">
        <v>3</v>
      </c>
      <c r="P11" s="3">
        <f>SUM(L11:O11)</f>
        <v>14</v>
      </c>
      <c r="Q11" s="3" t="str">
        <f>IF(P11&gt;=17,"Tier 1",IF(P11&gt;=14,"Tier 2",IF(P11&gt;=11,"Tier 3","Tier 4")))</f>
        <v>Tier 2</v>
      </c>
      <c r="R11" s="2" t="s">
        <v>300</v>
      </c>
      <c r="S11" s="2" t="s">
        <v>294</v>
      </c>
      <c r="T11" s="2" t="s">
        <v>255</v>
      </c>
      <c r="U11" s="2" t="s">
        <v>39</v>
      </c>
      <c r="V11" s="2" t="s">
        <v>40</v>
      </c>
      <c r="W11" s="2" t="s">
        <v>53</v>
      </c>
      <c r="X11" s="2" t="s">
        <v>135</v>
      </c>
      <c r="Y11" s="2" t="s">
        <v>136</v>
      </c>
      <c r="Z11" s="2" t="s">
        <v>39</v>
      </c>
    </row>
    <row r="12" spans="1:26" ht="31">
      <c r="A12" s="2" t="s">
        <v>256</v>
      </c>
      <c r="B12" s="2" t="s">
        <v>257</v>
      </c>
      <c r="C12" s="2" t="s">
        <v>258</v>
      </c>
      <c r="D12" s="2" t="s">
        <v>259</v>
      </c>
      <c r="E12" s="2" t="s">
        <v>260</v>
      </c>
      <c r="F12" s="2" t="s">
        <v>31</v>
      </c>
      <c r="G12" s="2" t="s">
        <v>261</v>
      </c>
      <c r="H12" s="2" t="s">
        <v>262</v>
      </c>
      <c r="I12" s="2" t="s">
        <v>34</v>
      </c>
      <c r="J12" s="2" t="s">
        <v>35</v>
      </c>
      <c r="K12" s="2" t="s">
        <v>263</v>
      </c>
      <c r="L12" s="3">
        <v>4</v>
      </c>
      <c r="M12" s="3">
        <v>4</v>
      </c>
      <c r="N12" s="3">
        <v>5</v>
      </c>
      <c r="O12" s="3">
        <v>3</v>
      </c>
      <c r="P12" s="3">
        <f>SUM(L12:O12)</f>
        <v>16</v>
      </c>
      <c r="Q12" s="3" t="str">
        <f>IF(P12&gt;=17,"Tier 1",IF(P12&gt;=14,"Tier 2",IF(P12&gt;=11,"Tier 3","Tier 4")))</f>
        <v>Tier 2</v>
      </c>
      <c r="R12" s="2" t="s">
        <v>264</v>
      </c>
      <c r="S12" s="2" t="s">
        <v>258</v>
      </c>
      <c r="T12" s="2" t="s">
        <v>265</v>
      </c>
      <c r="U12" s="2" t="s">
        <v>39</v>
      </c>
      <c r="V12" s="2" t="s">
        <v>40</v>
      </c>
      <c r="W12" s="2" t="s">
        <v>144</v>
      </c>
      <c r="X12" s="2" t="s">
        <v>145</v>
      </c>
      <c r="Y12" s="2" t="s">
        <v>146</v>
      </c>
      <c r="Z12" s="2" t="s">
        <v>39</v>
      </c>
    </row>
    <row r="13" spans="1:26" ht="31">
      <c r="A13" s="2" t="s">
        <v>561</v>
      </c>
      <c r="B13" s="2" t="s">
        <v>561</v>
      </c>
      <c r="C13" s="2" t="s">
        <v>562</v>
      </c>
      <c r="D13" s="2" t="s">
        <v>563</v>
      </c>
      <c r="E13" s="2" t="s">
        <v>564</v>
      </c>
      <c r="F13" s="2" t="s">
        <v>31</v>
      </c>
      <c r="G13" s="2" t="s">
        <v>565</v>
      </c>
      <c r="H13" s="2" t="s">
        <v>131</v>
      </c>
      <c r="I13" s="2" t="s">
        <v>34</v>
      </c>
      <c r="J13" s="2" t="s">
        <v>152</v>
      </c>
      <c r="K13" s="2" t="s">
        <v>566</v>
      </c>
      <c r="L13" s="3">
        <v>3</v>
      </c>
      <c r="M13" s="3">
        <v>3</v>
      </c>
      <c r="N13" s="3">
        <v>4</v>
      </c>
      <c r="O13" s="3">
        <v>3</v>
      </c>
      <c r="P13" s="3">
        <f>SUM(L13:O13)</f>
        <v>13</v>
      </c>
      <c r="Q13" s="3" t="str">
        <f>IF(P13&gt;=17,"Tier 1",IF(P13&gt;=14,"Tier 2",IF(P13&gt;=11,"Tier 3","Tier 4")))</f>
        <v>Tier 3</v>
      </c>
      <c r="R13" s="2" t="s">
        <v>567</v>
      </c>
      <c r="S13" s="2" t="s">
        <v>562</v>
      </c>
      <c r="T13" s="2" t="s">
        <v>255</v>
      </c>
      <c r="U13" s="2" t="s">
        <v>39</v>
      </c>
      <c r="V13" s="2" t="s">
        <v>40</v>
      </c>
      <c r="W13" s="2" t="s">
        <v>154</v>
      </c>
      <c r="X13" s="2" t="s">
        <v>155</v>
      </c>
      <c r="Y13" s="2" t="s">
        <v>148</v>
      </c>
      <c r="Z13" s="2" t="s">
        <v>39</v>
      </c>
    </row>
    <row r="14" spans="1:26" ht="31">
      <c r="A14" s="2" t="s">
        <v>88</v>
      </c>
      <c r="B14" s="2" t="s">
        <v>78</v>
      </c>
      <c r="C14" s="2" t="s">
        <v>89</v>
      </c>
      <c r="D14" s="2" t="s">
        <v>90</v>
      </c>
      <c r="E14" s="2" t="s">
        <v>91</v>
      </c>
      <c r="F14" s="2" t="s">
        <v>31</v>
      </c>
      <c r="G14" s="2" t="s">
        <v>92</v>
      </c>
      <c r="H14" s="2" t="s">
        <v>93</v>
      </c>
      <c r="I14" s="2" t="s">
        <v>72</v>
      </c>
      <c r="J14" s="2" t="s">
        <v>35</v>
      </c>
      <c r="K14" s="2" t="s">
        <v>94</v>
      </c>
      <c r="L14" s="3">
        <v>3</v>
      </c>
      <c r="M14" s="3">
        <v>5</v>
      </c>
      <c r="N14" s="3">
        <v>4</v>
      </c>
      <c r="O14" s="3">
        <v>2</v>
      </c>
      <c r="P14" s="3">
        <f>SUM(L14:O14)</f>
        <v>14</v>
      </c>
      <c r="Q14" s="3" t="str">
        <f>IF(P14&gt;=17,"Tier 1",IF(P14&gt;=14,"Tier 2",IF(P14&gt;=11,"Tier 3","Tier 4")))</f>
        <v>Tier 2</v>
      </c>
      <c r="R14" s="2" t="s">
        <v>95</v>
      </c>
      <c r="S14" s="2" t="s">
        <v>89</v>
      </c>
      <c r="T14" s="2" t="s">
        <v>38</v>
      </c>
      <c r="U14" s="2" t="s">
        <v>39</v>
      </c>
      <c r="V14" s="2" t="s">
        <v>40</v>
      </c>
      <c r="W14" s="2" t="s">
        <v>176</v>
      </c>
      <c r="X14" s="2" t="s">
        <v>177</v>
      </c>
      <c r="Y14" s="2" t="s">
        <v>178</v>
      </c>
      <c r="Z14" s="2" t="s">
        <v>39</v>
      </c>
    </row>
    <row r="15" spans="1:26" ht="45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31</v>
      </c>
      <c r="G15" s="2" t="s">
        <v>82</v>
      </c>
      <c r="H15" s="2" t="s">
        <v>83</v>
      </c>
      <c r="I15" s="2" t="s">
        <v>72</v>
      </c>
      <c r="J15" s="2" t="s">
        <v>35</v>
      </c>
      <c r="K15" s="2" t="s">
        <v>84</v>
      </c>
      <c r="L15" s="3">
        <v>3</v>
      </c>
      <c r="M15" s="3">
        <v>5</v>
      </c>
      <c r="N15" s="3">
        <v>5</v>
      </c>
      <c r="O15" s="3">
        <v>2</v>
      </c>
      <c r="P15" s="3">
        <f>SUM(L15:O15)</f>
        <v>15</v>
      </c>
      <c r="Q15" s="3" t="str">
        <f>IF(P15&gt;=17,"Tier 1",IF(P15&gt;=14,"Tier 2",IF(P15&gt;=11,"Tier 3","Tier 4")))</f>
        <v>Tier 2</v>
      </c>
      <c r="R15" s="2" t="s">
        <v>85</v>
      </c>
      <c r="S15" s="2" t="s">
        <v>79</v>
      </c>
      <c r="T15" s="2" t="s">
        <v>38</v>
      </c>
      <c r="U15" s="2" t="s">
        <v>39</v>
      </c>
      <c r="V15" s="2" t="s">
        <v>64</v>
      </c>
      <c r="W15" s="2"/>
      <c r="X15" s="2" t="s">
        <v>188</v>
      </c>
      <c r="Y15" s="2" t="s">
        <v>189</v>
      </c>
      <c r="Z15" s="2" t="s">
        <v>39</v>
      </c>
    </row>
    <row r="16" spans="1:26" ht="45">
      <c r="A16" s="2" t="s">
        <v>239</v>
      </c>
      <c r="B16" s="2" t="s">
        <v>229</v>
      </c>
      <c r="C16" s="2" t="s">
        <v>230</v>
      </c>
      <c r="D16" s="2" t="s">
        <v>80</v>
      </c>
      <c r="E16" s="2" t="s">
        <v>240</v>
      </c>
      <c r="F16" s="2" t="s">
        <v>31</v>
      </c>
      <c r="G16" s="2" t="s">
        <v>241</v>
      </c>
      <c r="H16" s="2" t="s">
        <v>242</v>
      </c>
      <c r="I16" s="2" t="s">
        <v>235</v>
      </c>
      <c r="J16" s="2" t="s">
        <v>164</v>
      </c>
      <c r="K16" s="2" t="s">
        <v>243</v>
      </c>
      <c r="L16" s="3">
        <v>2</v>
      </c>
      <c r="M16" s="3">
        <v>3</v>
      </c>
      <c r="N16" s="3">
        <v>3</v>
      </c>
      <c r="O16" s="3">
        <v>2</v>
      </c>
      <c r="P16" s="3">
        <f>SUM(L16:O16)</f>
        <v>10</v>
      </c>
      <c r="Q16" s="3" t="str">
        <f>IF(P16&gt;=17,"Tier 1",IF(P16&gt;=14,"Tier 2",IF(P16&gt;=11,"Tier 3","Tier 4")))</f>
        <v>Tier 4</v>
      </c>
      <c r="R16" s="2" t="s">
        <v>244</v>
      </c>
      <c r="S16" s="2" t="s">
        <v>238</v>
      </c>
      <c r="T16" s="2" t="s">
        <v>38</v>
      </c>
      <c r="U16" s="2" t="s">
        <v>39</v>
      </c>
      <c r="V16" s="2" t="s">
        <v>64</v>
      </c>
      <c r="W16" s="2"/>
      <c r="X16" s="2" t="s">
        <v>198</v>
      </c>
      <c r="Y16" s="2" t="s">
        <v>191</v>
      </c>
      <c r="Z16" s="2" t="s">
        <v>39</v>
      </c>
    </row>
    <row r="17" spans="1:26" ht="31">
      <c r="A17" s="2" t="s">
        <v>467</v>
      </c>
      <c r="B17" s="2" t="s">
        <v>329</v>
      </c>
      <c r="C17" s="2" t="s">
        <v>468</v>
      </c>
      <c r="D17" s="2" t="s">
        <v>469</v>
      </c>
      <c r="E17" s="2" t="s">
        <v>470</v>
      </c>
      <c r="F17" s="2" t="s">
        <v>31</v>
      </c>
      <c r="G17" s="2" t="s">
        <v>471</v>
      </c>
      <c r="H17" s="2" t="s">
        <v>317</v>
      </c>
      <c r="I17" s="2" t="s">
        <v>34</v>
      </c>
      <c r="J17" s="2" t="s">
        <v>152</v>
      </c>
      <c r="K17" s="2" t="s">
        <v>196</v>
      </c>
      <c r="L17" s="3">
        <v>3</v>
      </c>
      <c r="M17" s="3">
        <v>3</v>
      </c>
      <c r="N17" s="3">
        <v>4</v>
      </c>
      <c r="O17" s="3">
        <v>2</v>
      </c>
      <c r="P17" s="3">
        <f>SUM(L17:O17)</f>
        <v>12</v>
      </c>
      <c r="Q17" s="3" t="str">
        <f>IF(P17&gt;=17,"Tier 1",IF(P17&gt;=14,"Tier 2",IF(P17&gt;=11,"Tier 3","Tier 4")))</f>
        <v>Tier 3</v>
      </c>
      <c r="R17" s="2" t="s">
        <v>472</v>
      </c>
      <c r="S17" s="2" t="s">
        <v>468</v>
      </c>
      <c r="T17" s="2" t="s">
        <v>255</v>
      </c>
      <c r="U17" s="2" t="s">
        <v>39</v>
      </c>
      <c r="V17" s="2" t="s">
        <v>40</v>
      </c>
      <c r="W17" s="2" t="s">
        <v>208</v>
      </c>
      <c r="X17" s="2" t="s">
        <v>209</v>
      </c>
      <c r="Y17" s="2" t="s">
        <v>201</v>
      </c>
      <c r="Z17" s="2" t="s">
        <v>39</v>
      </c>
    </row>
    <row r="18" spans="1:26" ht="31">
      <c r="A18" s="2" t="s">
        <v>552</v>
      </c>
      <c r="B18" s="2" t="s">
        <v>552</v>
      </c>
      <c r="C18" s="2" t="s">
        <v>553</v>
      </c>
      <c r="D18" s="2" t="s">
        <v>554</v>
      </c>
      <c r="E18" s="2" t="s">
        <v>555</v>
      </c>
      <c r="F18" s="2" t="s">
        <v>31</v>
      </c>
      <c r="G18" s="2" t="s">
        <v>556</v>
      </c>
      <c r="H18" s="2" t="s">
        <v>557</v>
      </c>
      <c r="I18" s="2" t="s">
        <v>72</v>
      </c>
      <c r="J18" s="2" t="s">
        <v>35</v>
      </c>
      <c r="K18" s="2" t="s">
        <v>558</v>
      </c>
      <c r="L18" s="3">
        <v>4</v>
      </c>
      <c r="M18" s="3">
        <v>3</v>
      </c>
      <c r="N18" s="3">
        <v>5</v>
      </c>
      <c r="O18" s="3">
        <v>4</v>
      </c>
      <c r="P18" s="3">
        <f>SUM(L18:O18)</f>
        <v>16</v>
      </c>
      <c r="Q18" s="3" t="str">
        <f>IF(P18&gt;=17,"Tier 1",IF(P18&gt;=14,"Tier 2",IF(P18&gt;=11,"Tier 3","Tier 4")))</f>
        <v>Tier 2</v>
      </c>
      <c r="R18" s="2" t="s">
        <v>559</v>
      </c>
      <c r="S18" s="2" t="s">
        <v>553</v>
      </c>
      <c r="T18" s="2" t="s">
        <v>560</v>
      </c>
      <c r="U18" s="2" t="s">
        <v>39</v>
      </c>
      <c r="V18" s="2" t="s">
        <v>40</v>
      </c>
      <c r="W18" s="2" t="s">
        <v>208</v>
      </c>
      <c r="X18" s="2" t="s">
        <v>217</v>
      </c>
      <c r="Y18" s="2" t="s">
        <v>218</v>
      </c>
      <c r="Z18" s="2" t="s">
        <v>39</v>
      </c>
    </row>
    <row r="19" spans="1:26" ht="31">
      <c r="A19" s="2" t="s">
        <v>450</v>
      </c>
      <c r="B19" s="2" t="s">
        <v>441</v>
      </c>
      <c r="C19" s="2" t="s">
        <v>451</v>
      </c>
      <c r="D19" s="2" t="s">
        <v>452</v>
      </c>
      <c r="E19" s="2" t="s">
        <v>453</v>
      </c>
      <c r="F19" s="2" t="s">
        <v>445</v>
      </c>
      <c r="G19" s="2" t="s">
        <v>454</v>
      </c>
      <c r="H19" s="2" t="s">
        <v>131</v>
      </c>
      <c r="I19" s="2" t="s">
        <v>34</v>
      </c>
      <c r="J19" s="2" t="s">
        <v>164</v>
      </c>
      <c r="K19" s="2" t="s">
        <v>196</v>
      </c>
      <c r="L19" s="3">
        <v>3</v>
      </c>
      <c r="M19" s="3">
        <v>3</v>
      </c>
      <c r="N19" s="3">
        <v>3</v>
      </c>
      <c r="O19" s="3">
        <v>3</v>
      </c>
      <c r="P19" s="3">
        <f>SUM(L19:O19)</f>
        <v>12</v>
      </c>
      <c r="Q19" s="3" t="str">
        <f>IF(P19&gt;=17,"Tier 1",IF(P19&gt;=14,"Tier 2",IF(P19&gt;=11,"Tier 3","Tier 4")))</f>
        <v>Tier 3</v>
      </c>
      <c r="R19" s="2" t="s">
        <v>455</v>
      </c>
      <c r="S19" s="2" t="s">
        <v>451</v>
      </c>
      <c r="T19" s="2" t="s">
        <v>255</v>
      </c>
      <c r="U19" s="2" t="s">
        <v>39</v>
      </c>
      <c r="V19" s="2" t="s">
        <v>40</v>
      </c>
      <c r="W19" s="2" t="s">
        <v>208</v>
      </c>
      <c r="X19" s="2" t="s">
        <v>274</v>
      </c>
      <c r="Y19" s="2" t="s">
        <v>211</v>
      </c>
      <c r="Z19" s="2" t="s">
        <v>39</v>
      </c>
    </row>
    <row r="20" spans="1:26" ht="30">
      <c r="A20" s="2" t="s">
        <v>363</v>
      </c>
      <c r="B20" s="2" t="s">
        <v>364</v>
      </c>
      <c r="C20" s="2" t="s">
        <v>365</v>
      </c>
      <c r="D20" s="2" t="s">
        <v>366</v>
      </c>
      <c r="E20" s="2" t="s">
        <v>367</v>
      </c>
      <c r="F20" s="2" t="s">
        <v>31</v>
      </c>
      <c r="G20" s="2" t="s">
        <v>368</v>
      </c>
      <c r="H20" s="2" t="s">
        <v>360</v>
      </c>
      <c r="I20" s="2" t="s">
        <v>72</v>
      </c>
      <c r="J20" s="2" t="s">
        <v>369</v>
      </c>
      <c r="K20" s="2" t="s">
        <v>370</v>
      </c>
      <c r="L20" s="3">
        <v>3</v>
      </c>
      <c r="M20" s="3">
        <v>2</v>
      </c>
      <c r="N20" s="3">
        <v>3</v>
      </c>
      <c r="O20" s="3">
        <v>4</v>
      </c>
      <c r="P20" s="3">
        <f>SUM(L20:O20)</f>
        <v>12</v>
      </c>
      <c r="Q20" s="3" t="str">
        <f>IF(P20&gt;=17,"Tier 1",IF(P20&gt;=14,"Tier 2",IF(P20&gt;=11,"Tier 3","Tier 4")))</f>
        <v>Tier 3</v>
      </c>
      <c r="R20" s="2" t="s">
        <v>371</v>
      </c>
      <c r="S20" s="2" t="s">
        <v>365</v>
      </c>
      <c r="T20" s="2" t="s">
        <v>255</v>
      </c>
      <c r="U20" s="2" t="s">
        <v>39</v>
      </c>
      <c r="V20" s="2" t="s">
        <v>64</v>
      </c>
      <c r="W20" s="2"/>
      <c r="X20" s="2" t="s">
        <v>284</v>
      </c>
      <c r="Y20" s="2" t="s">
        <v>277</v>
      </c>
      <c r="Z20" s="2" t="s">
        <v>39</v>
      </c>
    </row>
    <row r="21" spans="1:26" ht="30">
      <c r="A21" s="2" t="s">
        <v>501</v>
      </c>
      <c r="B21" s="2" t="s">
        <v>502</v>
      </c>
      <c r="C21" s="2" t="s">
        <v>503</v>
      </c>
      <c r="D21" s="2" t="s">
        <v>504</v>
      </c>
      <c r="E21" s="2" t="s">
        <v>505</v>
      </c>
      <c r="F21" s="2" t="s">
        <v>31</v>
      </c>
      <c r="G21" s="2" t="s">
        <v>506</v>
      </c>
      <c r="H21" s="2" t="s">
        <v>381</v>
      </c>
      <c r="I21" s="2" t="s">
        <v>34</v>
      </c>
      <c r="J21" s="2" t="s">
        <v>152</v>
      </c>
      <c r="K21" s="2" t="s">
        <v>309</v>
      </c>
      <c r="L21" s="3">
        <v>3</v>
      </c>
      <c r="M21" s="3">
        <v>3</v>
      </c>
      <c r="N21" s="3">
        <v>4</v>
      </c>
      <c r="O21" s="3">
        <v>2</v>
      </c>
      <c r="P21" s="3">
        <f>SUM(L21:O21)</f>
        <v>12</v>
      </c>
      <c r="Q21" s="3" t="str">
        <f>IF(P21&gt;=17,"Tier 1",IF(P21&gt;=14,"Tier 2",IF(P21&gt;=11,"Tier 3","Tier 4")))</f>
        <v>Tier 3</v>
      </c>
      <c r="R21" s="2" t="s">
        <v>507</v>
      </c>
      <c r="S21" s="2" t="s">
        <v>503</v>
      </c>
      <c r="T21" s="2" t="s">
        <v>255</v>
      </c>
      <c r="U21" s="2" t="s">
        <v>39</v>
      </c>
      <c r="V21" s="2" t="s">
        <v>64</v>
      </c>
      <c r="W21" s="2"/>
      <c r="X21" s="2" t="s">
        <v>284</v>
      </c>
      <c r="Y21" s="2" t="s">
        <v>286</v>
      </c>
      <c r="Z21" s="2" t="s">
        <v>39</v>
      </c>
    </row>
    <row r="22" spans="1:26" ht="30">
      <c r="A22" s="2" t="s">
        <v>511</v>
      </c>
      <c r="B22" s="2" t="s">
        <v>329</v>
      </c>
      <c r="C22" s="2" t="s">
        <v>512</v>
      </c>
      <c r="D22" s="2" t="s">
        <v>504</v>
      </c>
      <c r="E22" s="2" t="s">
        <v>513</v>
      </c>
      <c r="F22" s="2" t="s">
        <v>31</v>
      </c>
      <c r="G22" s="2" t="s">
        <v>514</v>
      </c>
      <c r="H22" s="2" t="s">
        <v>317</v>
      </c>
      <c r="I22" s="2" t="s">
        <v>34</v>
      </c>
      <c r="J22" s="2" t="s">
        <v>35</v>
      </c>
      <c r="K22" s="2" t="s">
        <v>309</v>
      </c>
      <c r="L22" s="3">
        <v>3</v>
      </c>
      <c r="M22" s="3">
        <v>4</v>
      </c>
      <c r="N22" s="3">
        <v>4</v>
      </c>
      <c r="O22" s="3">
        <v>2</v>
      </c>
      <c r="P22" s="3">
        <f>SUM(L22:O22)</f>
        <v>13</v>
      </c>
      <c r="Q22" s="3" t="str">
        <f>IF(P22&gt;=17,"Tier 1",IF(P22&gt;=14,"Tier 2",IF(P22&gt;=11,"Tier 3","Tier 4")))</f>
        <v>Tier 3</v>
      </c>
      <c r="R22" s="2" t="s">
        <v>515</v>
      </c>
      <c r="S22" s="2" t="s">
        <v>512</v>
      </c>
      <c r="T22" s="2" t="s">
        <v>255</v>
      </c>
      <c r="U22" s="2" t="s">
        <v>39</v>
      </c>
      <c r="V22" s="2" t="s">
        <v>64</v>
      </c>
      <c r="W22" s="2"/>
      <c r="X22" s="2" t="s">
        <v>301</v>
      </c>
      <c r="Y22" s="2" t="s">
        <v>302</v>
      </c>
      <c r="Z22" s="2" t="s">
        <v>39</v>
      </c>
    </row>
    <row r="23" spans="1:26" ht="30">
      <c r="A23" s="2" t="s">
        <v>518</v>
      </c>
      <c r="B23" s="2" t="s">
        <v>519</v>
      </c>
      <c r="C23" s="2" t="s">
        <v>520</v>
      </c>
      <c r="D23" s="2" t="s">
        <v>504</v>
      </c>
      <c r="E23" s="2" t="s">
        <v>521</v>
      </c>
      <c r="F23" s="2" t="s">
        <v>31</v>
      </c>
      <c r="G23" s="2" t="s">
        <v>522</v>
      </c>
      <c r="H23" s="2" t="s">
        <v>523</v>
      </c>
      <c r="I23" s="2" t="s">
        <v>62</v>
      </c>
      <c r="J23" s="2" t="s">
        <v>164</v>
      </c>
      <c r="K23" s="2" t="s">
        <v>464</v>
      </c>
      <c r="L23" s="3">
        <v>3</v>
      </c>
      <c r="M23" s="3">
        <v>3</v>
      </c>
      <c r="N23" s="3">
        <v>3</v>
      </c>
      <c r="O23" s="3">
        <v>3</v>
      </c>
      <c r="P23" s="3">
        <f>SUM(L23:O23)</f>
        <v>12</v>
      </c>
      <c r="Q23" s="3" t="str">
        <f>IF(P23&gt;=17,"Tier 1",IF(P23&gt;=14,"Tier 2",IF(P23&gt;=11,"Tier 3","Tier 4")))</f>
        <v>Tier 3</v>
      </c>
      <c r="R23" s="2" t="s">
        <v>524</v>
      </c>
      <c r="S23" s="2" t="s">
        <v>520</v>
      </c>
      <c r="T23" s="2" t="s">
        <v>255</v>
      </c>
      <c r="U23" s="2" t="s">
        <v>39</v>
      </c>
      <c r="V23" s="2" t="s">
        <v>64</v>
      </c>
      <c r="W23" s="2"/>
      <c r="X23" s="2" t="s">
        <v>311</v>
      </c>
      <c r="Y23" s="2" t="s">
        <v>305</v>
      </c>
      <c r="Z23" s="2" t="s">
        <v>39</v>
      </c>
    </row>
    <row r="24" spans="1:26" ht="30">
      <c r="A24" s="2" t="s">
        <v>640</v>
      </c>
      <c r="B24" s="2" t="s">
        <v>641</v>
      </c>
      <c r="C24" s="2" t="s">
        <v>642</v>
      </c>
      <c r="D24" s="2" t="s">
        <v>643</v>
      </c>
      <c r="E24" s="2" t="s">
        <v>644</v>
      </c>
      <c r="F24" s="2" t="s">
        <v>31</v>
      </c>
      <c r="G24" s="2" t="s">
        <v>645</v>
      </c>
      <c r="H24" s="2" t="s">
        <v>360</v>
      </c>
      <c r="I24" s="2" t="s">
        <v>34</v>
      </c>
      <c r="J24" s="2" t="s">
        <v>164</v>
      </c>
      <c r="K24" s="2" t="s">
        <v>464</v>
      </c>
      <c r="L24" s="3">
        <v>3</v>
      </c>
      <c r="M24" s="3">
        <v>2</v>
      </c>
      <c r="N24" s="3">
        <v>3</v>
      </c>
      <c r="O24" s="3">
        <v>3</v>
      </c>
      <c r="P24" s="3">
        <f>SUM(L24:O24)</f>
        <v>11</v>
      </c>
      <c r="Q24" s="3" t="str">
        <f>IF(P24&gt;=17,"Tier 1",IF(P24&gt;=14,"Tier 2",IF(P24&gt;=11,"Tier 3","Tier 4")))</f>
        <v>Tier 3</v>
      </c>
      <c r="R24" s="2" t="s">
        <v>646</v>
      </c>
      <c r="S24" s="2" t="s">
        <v>642</v>
      </c>
      <c r="T24" s="2" t="s">
        <v>255</v>
      </c>
      <c r="U24" s="2" t="s">
        <v>39</v>
      </c>
      <c r="V24" s="2" t="s">
        <v>64</v>
      </c>
      <c r="W24" s="2"/>
      <c r="X24" s="2" t="s">
        <v>114</v>
      </c>
      <c r="Y24" s="2" t="s">
        <v>312</v>
      </c>
      <c r="Z24" s="2" t="s">
        <v>39</v>
      </c>
    </row>
    <row r="25" spans="1:26" ht="31">
      <c r="A25" s="2" t="s">
        <v>650</v>
      </c>
      <c r="B25" s="2" t="s">
        <v>651</v>
      </c>
      <c r="C25" s="2" t="s">
        <v>652</v>
      </c>
      <c r="D25" s="2" t="s">
        <v>643</v>
      </c>
      <c r="E25" s="2" t="s">
        <v>653</v>
      </c>
      <c r="F25" s="2" t="s">
        <v>31</v>
      </c>
      <c r="G25" s="2" t="s">
        <v>654</v>
      </c>
      <c r="H25" s="2" t="s">
        <v>131</v>
      </c>
      <c r="I25" s="2" t="s">
        <v>62</v>
      </c>
      <c r="J25" s="2" t="s">
        <v>369</v>
      </c>
      <c r="K25" s="2" t="s">
        <v>196</v>
      </c>
      <c r="L25" s="3">
        <v>2</v>
      </c>
      <c r="M25" s="3">
        <v>2</v>
      </c>
      <c r="N25" s="3">
        <v>3</v>
      </c>
      <c r="O25" s="3">
        <v>2</v>
      </c>
      <c r="P25" s="3">
        <f>SUM(L25:O25)</f>
        <v>9</v>
      </c>
      <c r="Q25" s="3" t="str">
        <f>IF(P25&gt;=17,"Tier 1",IF(P25&gt;=14,"Tier 2",IF(P25&gt;=11,"Tier 3","Tier 4")))</f>
        <v>Tier 4</v>
      </c>
      <c r="R25" s="2" t="s">
        <v>655</v>
      </c>
      <c r="S25" s="2" t="s">
        <v>652</v>
      </c>
      <c r="T25" s="2" t="s">
        <v>255</v>
      </c>
      <c r="U25" s="2" t="s">
        <v>39</v>
      </c>
      <c r="V25" s="2" t="s">
        <v>40</v>
      </c>
      <c r="W25" s="2" t="s">
        <v>319</v>
      </c>
      <c r="X25" s="2" t="s">
        <v>320</v>
      </c>
      <c r="Y25" s="2" t="s">
        <v>319</v>
      </c>
      <c r="Z25" s="2" t="s">
        <v>39</v>
      </c>
    </row>
    <row r="26" spans="1:26" ht="31">
      <c r="A26" s="2" t="s">
        <v>440</v>
      </c>
      <c r="B26" s="2" t="s">
        <v>441</v>
      </c>
      <c r="C26" s="2" t="s">
        <v>442</v>
      </c>
      <c r="D26" s="2" t="s">
        <v>443</v>
      </c>
      <c r="E26" s="2" t="s">
        <v>444</v>
      </c>
      <c r="F26" s="2" t="s">
        <v>445</v>
      </c>
      <c r="G26" s="2" t="s">
        <v>446</v>
      </c>
      <c r="H26" s="2" t="s">
        <v>317</v>
      </c>
      <c r="I26" s="2" t="s">
        <v>34</v>
      </c>
      <c r="J26" s="2" t="s">
        <v>164</v>
      </c>
      <c r="K26" s="2" t="s">
        <v>196</v>
      </c>
      <c r="L26" s="3">
        <v>3</v>
      </c>
      <c r="M26" s="3">
        <v>3</v>
      </c>
      <c r="N26" s="3">
        <v>3</v>
      </c>
      <c r="O26" s="3">
        <v>3</v>
      </c>
      <c r="P26" s="3">
        <f>SUM(L26:O26)</f>
        <v>12</v>
      </c>
      <c r="Q26" s="3" t="str">
        <f>IF(P26&gt;=17,"Tier 1",IF(P26&gt;=14,"Tier 2",IF(P26&gt;=11,"Tier 3","Tier 4")))</f>
        <v>Tier 3</v>
      </c>
      <c r="R26" s="2" t="s">
        <v>447</v>
      </c>
      <c r="S26" s="2" t="s">
        <v>442</v>
      </c>
      <c r="T26" s="2" t="s">
        <v>255</v>
      </c>
      <c r="U26" s="2" t="s">
        <v>39</v>
      </c>
      <c r="V26" s="2" t="s">
        <v>40</v>
      </c>
      <c r="W26" s="2" t="s">
        <v>323</v>
      </c>
      <c r="X26" s="2" t="s">
        <v>324</v>
      </c>
      <c r="Y26" s="2" t="s">
        <v>325</v>
      </c>
      <c r="Z26" s="2" t="s">
        <v>39</v>
      </c>
    </row>
    <row r="27" spans="1:26" ht="31">
      <c r="A27" s="2" t="s">
        <v>375</v>
      </c>
      <c r="B27" s="2" t="s">
        <v>376</v>
      </c>
      <c r="C27" s="2" t="s">
        <v>377</v>
      </c>
      <c r="D27" s="2" t="s">
        <v>378</v>
      </c>
      <c r="E27" s="2" t="s">
        <v>379</v>
      </c>
      <c r="F27" s="2" t="s">
        <v>31</v>
      </c>
      <c r="G27" s="2" t="s">
        <v>380</v>
      </c>
      <c r="H27" s="2" t="s">
        <v>381</v>
      </c>
      <c r="I27" s="2" t="s">
        <v>252</v>
      </c>
      <c r="J27" s="2" t="s">
        <v>35</v>
      </c>
      <c r="K27" s="2" t="s">
        <v>382</v>
      </c>
      <c r="L27" s="3">
        <v>2</v>
      </c>
      <c r="M27" s="3">
        <v>4</v>
      </c>
      <c r="N27" s="3">
        <v>5</v>
      </c>
      <c r="O27" s="3">
        <v>1</v>
      </c>
      <c r="P27" s="3">
        <f>SUM(L27:O27)</f>
        <v>12</v>
      </c>
      <c r="Q27" s="3" t="str">
        <f>IF(P27&gt;=17,"Tier 1",IF(P27&gt;=14,"Tier 2",IF(P27&gt;=11,"Tier 3","Tier 4")))</f>
        <v>Tier 3</v>
      </c>
      <c r="R27" s="2" t="s">
        <v>383</v>
      </c>
      <c r="S27" s="2" t="s">
        <v>377</v>
      </c>
      <c r="T27" s="2" t="s">
        <v>255</v>
      </c>
      <c r="U27" s="2" t="s">
        <v>39</v>
      </c>
      <c r="V27" s="2" t="s">
        <v>40</v>
      </c>
      <c r="W27" s="2" t="s">
        <v>326</v>
      </c>
      <c r="X27" s="2" t="s">
        <v>327</v>
      </c>
      <c r="Y27" s="2" t="s">
        <v>328</v>
      </c>
      <c r="Z27" s="2" t="s">
        <v>39</v>
      </c>
    </row>
    <row r="28" spans="1:26" ht="31">
      <c r="A28" s="2" t="s">
        <v>387</v>
      </c>
      <c r="B28" s="2" t="s">
        <v>388</v>
      </c>
      <c r="C28" s="2" t="s">
        <v>389</v>
      </c>
      <c r="D28" s="2" t="s">
        <v>378</v>
      </c>
      <c r="E28" s="2" t="s">
        <v>390</v>
      </c>
      <c r="F28" s="2" t="s">
        <v>31</v>
      </c>
      <c r="G28" s="2" t="s">
        <v>391</v>
      </c>
      <c r="H28" s="2" t="s">
        <v>392</v>
      </c>
      <c r="I28" s="2" t="s">
        <v>252</v>
      </c>
      <c r="J28" s="2" t="s">
        <v>35</v>
      </c>
      <c r="K28" s="2" t="s">
        <v>309</v>
      </c>
      <c r="L28" s="3">
        <v>3</v>
      </c>
      <c r="M28" s="3">
        <v>4</v>
      </c>
      <c r="N28" s="3">
        <v>5</v>
      </c>
      <c r="O28" s="3">
        <v>2</v>
      </c>
      <c r="P28" s="3">
        <f>SUM(L28:O28)</f>
        <v>14</v>
      </c>
      <c r="Q28" s="3" t="str">
        <f>IF(P28&gt;=17,"Tier 1",IF(P28&gt;=14,"Tier 2",IF(P28&gt;=11,"Tier 3","Tier 4")))</f>
        <v>Tier 2</v>
      </c>
      <c r="R28" s="2" t="s">
        <v>393</v>
      </c>
      <c r="S28" s="2" t="s">
        <v>389</v>
      </c>
      <c r="T28" s="2" t="s">
        <v>255</v>
      </c>
      <c r="U28" s="2" t="s">
        <v>39</v>
      </c>
      <c r="V28" s="2" t="s">
        <v>40</v>
      </c>
      <c r="W28" s="2" t="s">
        <v>330</v>
      </c>
      <c r="X28" s="2" t="s">
        <v>331</v>
      </c>
      <c r="Y28" s="2" t="s">
        <v>330</v>
      </c>
      <c r="Z28" s="2" t="s">
        <v>39</v>
      </c>
    </row>
    <row r="29" spans="1:26" ht="30">
      <c r="A29" s="2" t="s">
        <v>396</v>
      </c>
      <c r="B29" s="2" t="s">
        <v>397</v>
      </c>
      <c r="C29" s="2" t="s">
        <v>398</v>
      </c>
      <c r="D29" s="2" t="s">
        <v>378</v>
      </c>
      <c r="E29" s="2" t="s">
        <v>399</v>
      </c>
      <c r="F29" s="2" t="s">
        <v>31</v>
      </c>
      <c r="G29" s="2" t="s">
        <v>400</v>
      </c>
      <c r="H29" s="2" t="s">
        <v>321</v>
      </c>
      <c r="I29" s="2" t="s">
        <v>252</v>
      </c>
      <c r="J29" s="2" t="s">
        <v>35</v>
      </c>
      <c r="K29" s="2" t="s">
        <v>401</v>
      </c>
      <c r="L29" s="3">
        <v>3</v>
      </c>
      <c r="M29" s="3">
        <v>4</v>
      </c>
      <c r="N29" s="3">
        <v>5</v>
      </c>
      <c r="O29" s="3">
        <v>2</v>
      </c>
      <c r="P29" s="3">
        <f>SUM(L29:O29)</f>
        <v>14</v>
      </c>
      <c r="Q29" s="3" t="str">
        <f>IF(P29&gt;=17,"Tier 1",IF(P29&gt;=14,"Tier 2",IF(P29&gt;=11,"Tier 3","Tier 4")))</f>
        <v>Tier 2</v>
      </c>
      <c r="R29" s="2" t="s">
        <v>402</v>
      </c>
      <c r="S29" s="2" t="s">
        <v>398</v>
      </c>
      <c r="T29" s="2" t="s">
        <v>255</v>
      </c>
      <c r="U29" s="2" t="s">
        <v>39</v>
      </c>
      <c r="V29" s="2" t="s">
        <v>64</v>
      </c>
      <c r="W29" s="2"/>
      <c r="X29" s="2" t="s">
        <v>114</v>
      </c>
      <c r="Y29" s="2" t="s">
        <v>334</v>
      </c>
      <c r="Z29" s="2" t="s">
        <v>39</v>
      </c>
    </row>
    <row r="30" spans="1:26" ht="30">
      <c r="A30" s="2" t="s">
        <v>351</v>
      </c>
      <c r="B30" s="2" t="s">
        <v>352</v>
      </c>
      <c r="C30" s="2" t="s">
        <v>353</v>
      </c>
      <c r="D30" s="2" t="s">
        <v>354</v>
      </c>
      <c r="E30" s="2" t="s">
        <v>355</v>
      </c>
      <c r="F30" s="2" t="s">
        <v>31</v>
      </c>
      <c r="G30" s="2" t="s">
        <v>356</v>
      </c>
      <c r="H30" s="2" t="s">
        <v>357</v>
      </c>
      <c r="I30" s="2" t="s">
        <v>34</v>
      </c>
      <c r="J30" s="2" t="s">
        <v>164</v>
      </c>
      <c r="K30" s="2" t="s">
        <v>196</v>
      </c>
      <c r="L30" s="3">
        <v>3</v>
      </c>
      <c r="M30" s="3">
        <v>3</v>
      </c>
      <c r="N30" s="3">
        <v>3</v>
      </c>
      <c r="O30" s="3">
        <v>3</v>
      </c>
      <c r="P30" s="3">
        <f>SUM(L30:O30)</f>
        <v>12</v>
      </c>
      <c r="Q30" s="3" t="str">
        <f>IF(P30&gt;=17,"Tier 1",IF(P30&gt;=14,"Tier 2",IF(P30&gt;=11,"Tier 3","Tier 4")))</f>
        <v>Tier 3</v>
      </c>
      <c r="R30" s="2" t="s">
        <v>358</v>
      </c>
      <c r="S30" s="2" t="s">
        <v>353</v>
      </c>
      <c r="T30" s="2" t="s">
        <v>255</v>
      </c>
      <c r="U30" s="2" t="s">
        <v>39</v>
      </c>
      <c r="V30" s="2" t="s">
        <v>64</v>
      </c>
      <c r="W30" s="2"/>
      <c r="X30" s="2" t="s">
        <v>114</v>
      </c>
      <c r="Y30" s="2" t="s">
        <v>344</v>
      </c>
      <c r="Z30" s="2" t="s">
        <v>39</v>
      </c>
    </row>
    <row r="31" spans="1:26" ht="30">
      <c r="A31" s="2" t="s">
        <v>406</v>
      </c>
      <c r="B31" s="2" t="s">
        <v>407</v>
      </c>
      <c r="C31" s="2" t="s">
        <v>408</v>
      </c>
      <c r="D31" s="2" t="s">
        <v>409</v>
      </c>
      <c r="E31" s="2" t="s">
        <v>410</v>
      </c>
      <c r="F31" s="2" t="s">
        <v>31</v>
      </c>
      <c r="G31" s="2" t="s">
        <v>411</v>
      </c>
      <c r="H31" s="2" t="s">
        <v>317</v>
      </c>
      <c r="I31" s="2" t="s">
        <v>34</v>
      </c>
      <c r="J31" s="2" t="s">
        <v>152</v>
      </c>
      <c r="K31" s="2" t="s">
        <v>309</v>
      </c>
      <c r="L31" s="3">
        <v>3</v>
      </c>
      <c r="M31" s="3">
        <v>3</v>
      </c>
      <c r="N31" s="3">
        <v>4</v>
      </c>
      <c r="O31" s="3">
        <v>2</v>
      </c>
      <c r="P31" s="3">
        <f>SUM(L31:O31)</f>
        <v>12</v>
      </c>
      <c r="Q31" s="3" t="str">
        <f>IF(P31&gt;=17,"Tier 1",IF(P31&gt;=14,"Tier 2",IF(P31&gt;=11,"Tier 3","Tier 4")))</f>
        <v>Tier 3</v>
      </c>
      <c r="R31" s="2" t="s">
        <v>412</v>
      </c>
      <c r="S31" s="2" t="s">
        <v>408</v>
      </c>
      <c r="T31" s="2" t="s">
        <v>255</v>
      </c>
      <c r="U31" s="2" t="s">
        <v>39</v>
      </c>
      <c r="V31" s="2" t="s">
        <v>64</v>
      </c>
      <c r="W31" s="2"/>
      <c r="X31" s="2" t="s">
        <v>114</v>
      </c>
      <c r="Y31" s="2" t="s">
        <v>353</v>
      </c>
      <c r="Z31" s="2" t="s">
        <v>39</v>
      </c>
    </row>
    <row r="32" spans="1:26" ht="31">
      <c r="A32" s="2" t="s">
        <v>413</v>
      </c>
      <c r="B32" s="2" t="s">
        <v>414</v>
      </c>
      <c r="C32" s="2" t="s">
        <v>415</v>
      </c>
      <c r="D32" s="2" t="s">
        <v>409</v>
      </c>
      <c r="E32" s="2" t="s">
        <v>416</v>
      </c>
      <c r="F32" s="2" t="s">
        <v>31</v>
      </c>
      <c r="G32" s="2" t="s">
        <v>417</v>
      </c>
      <c r="H32" s="2" t="s">
        <v>321</v>
      </c>
      <c r="I32" s="2" t="s">
        <v>252</v>
      </c>
      <c r="J32" s="2" t="s">
        <v>152</v>
      </c>
      <c r="K32" s="2" t="s">
        <v>418</v>
      </c>
      <c r="L32" s="3">
        <v>3</v>
      </c>
      <c r="M32" s="3">
        <v>3</v>
      </c>
      <c r="N32" s="3">
        <v>4</v>
      </c>
      <c r="O32" s="3">
        <v>3</v>
      </c>
      <c r="P32" s="3">
        <f>SUM(L32:O32)</f>
        <v>13</v>
      </c>
      <c r="Q32" s="3" t="str">
        <f>IF(P32&gt;=17,"Tier 1",IF(P32&gt;=14,"Tier 2",IF(P32&gt;=11,"Tier 3","Tier 4")))</f>
        <v>Tier 3</v>
      </c>
      <c r="R32" s="2" t="s">
        <v>419</v>
      </c>
      <c r="S32" s="2" t="s">
        <v>415</v>
      </c>
      <c r="T32" s="2" t="s">
        <v>255</v>
      </c>
      <c r="U32" s="2" t="s">
        <v>39</v>
      </c>
      <c r="V32" s="2" t="s">
        <v>40</v>
      </c>
      <c r="W32" s="2" t="s">
        <v>53</v>
      </c>
      <c r="X32" s="2" t="s">
        <v>361</v>
      </c>
      <c r="Y32" s="2" t="s">
        <v>362</v>
      </c>
      <c r="Z32" s="2" t="s">
        <v>39</v>
      </c>
    </row>
    <row r="33" spans="1:26" ht="31">
      <c r="A33" s="2" t="s">
        <v>422</v>
      </c>
      <c r="B33" s="2" t="s">
        <v>423</v>
      </c>
      <c r="C33" s="2" t="s">
        <v>424</v>
      </c>
      <c r="D33" s="2" t="s">
        <v>409</v>
      </c>
      <c r="E33" s="2" t="s">
        <v>425</v>
      </c>
      <c r="F33" s="2" t="s">
        <v>31</v>
      </c>
      <c r="G33" s="2" t="s">
        <v>426</v>
      </c>
      <c r="H33" s="2" t="s">
        <v>131</v>
      </c>
      <c r="I33" s="2" t="s">
        <v>62</v>
      </c>
      <c r="J33" s="2" t="s">
        <v>164</v>
      </c>
      <c r="K33" s="2" t="s">
        <v>196</v>
      </c>
      <c r="L33" s="3">
        <v>3</v>
      </c>
      <c r="M33" s="3">
        <v>3</v>
      </c>
      <c r="N33" s="3">
        <v>4</v>
      </c>
      <c r="O33" s="3">
        <v>3</v>
      </c>
      <c r="P33" s="3">
        <f>SUM(L33:O33)</f>
        <v>13</v>
      </c>
      <c r="Q33" s="3" t="str">
        <f>IF(P33&gt;=17,"Tier 1",IF(P33&gt;=14,"Tier 2",IF(P33&gt;=11,"Tier 3","Tier 4")))</f>
        <v>Tier 3</v>
      </c>
      <c r="R33" s="2" t="s">
        <v>427</v>
      </c>
      <c r="S33" s="2" t="s">
        <v>424</v>
      </c>
      <c r="T33" s="2" t="s">
        <v>255</v>
      </c>
      <c r="U33" s="2" t="s">
        <v>39</v>
      </c>
      <c r="V33" s="2" t="s">
        <v>40</v>
      </c>
      <c r="W33" s="2" t="s">
        <v>372</v>
      </c>
      <c r="X33" s="2" t="s">
        <v>373</v>
      </c>
      <c r="Y33" s="2" t="s">
        <v>374</v>
      </c>
      <c r="Z33" s="2" t="s">
        <v>39</v>
      </c>
    </row>
    <row r="34" spans="1:26" ht="46">
      <c r="A34" s="2" t="s">
        <v>429</v>
      </c>
      <c r="B34" s="2" t="s">
        <v>430</v>
      </c>
      <c r="C34" s="2" t="s">
        <v>431</v>
      </c>
      <c r="D34" s="2" t="s">
        <v>432</v>
      </c>
      <c r="E34" s="2" t="s">
        <v>433</v>
      </c>
      <c r="F34" s="2" t="s">
        <v>31</v>
      </c>
      <c r="G34" s="2" t="s">
        <v>434</v>
      </c>
      <c r="H34" s="2" t="s">
        <v>435</v>
      </c>
      <c r="I34" s="2" t="s">
        <v>34</v>
      </c>
      <c r="J34" s="2" t="s">
        <v>152</v>
      </c>
      <c r="K34" s="2" t="s">
        <v>436</v>
      </c>
      <c r="L34" s="3">
        <v>3</v>
      </c>
      <c r="M34" s="3">
        <v>3</v>
      </c>
      <c r="N34" s="3">
        <v>4</v>
      </c>
      <c r="O34" s="3">
        <v>3</v>
      </c>
      <c r="P34" s="3">
        <f>SUM(L34:O34)</f>
        <v>13</v>
      </c>
      <c r="Q34" s="3" t="str">
        <f>IF(P34&gt;=17,"Tier 1",IF(P34&gt;=14,"Tier 2",IF(P34&gt;=11,"Tier 3","Tier 4")))</f>
        <v>Tier 3</v>
      </c>
      <c r="R34" s="2" t="s">
        <v>437</v>
      </c>
      <c r="S34" s="2" t="s">
        <v>431</v>
      </c>
      <c r="T34" s="2" t="s">
        <v>255</v>
      </c>
      <c r="U34" s="2" t="s">
        <v>39</v>
      </c>
      <c r="V34" s="2" t="s">
        <v>40</v>
      </c>
      <c r="W34" s="2" t="s">
        <v>384</v>
      </c>
      <c r="X34" s="2" t="s">
        <v>385</v>
      </c>
      <c r="Y34" s="2" t="s">
        <v>386</v>
      </c>
      <c r="Z34" s="2" t="s">
        <v>39</v>
      </c>
    </row>
    <row r="35" spans="1:26" ht="31">
      <c r="A35" s="2" t="s">
        <v>571</v>
      </c>
      <c r="B35" s="2" t="s">
        <v>572</v>
      </c>
      <c r="C35" s="2" t="s">
        <v>573</v>
      </c>
      <c r="D35" s="2" t="s">
        <v>574</v>
      </c>
      <c r="E35" s="2" t="s">
        <v>575</v>
      </c>
      <c r="F35" s="2" t="s">
        <v>31</v>
      </c>
      <c r="G35" s="2" t="s">
        <v>576</v>
      </c>
      <c r="H35" s="2" t="s">
        <v>577</v>
      </c>
      <c r="I35" s="2" t="s">
        <v>72</v>
      </c>
      <c r="J35" s="2" t="s">
        <v>164</v>
      </c>
      <c r="K35" s="2" t="s">
        <v>578</v>
      </c>
      <c r="L35" s="3">
        <v>2</v>
      </c>
      <c r="M35" s="3">
        <v>3</v>
      </c>
      <c r="N35" s="3">
        <v>3</v>
      </c>
      <c r="O35" s="3">
        <v>2</v>
      </c>
      <c r="P35" s="3">
        <f>SUM(L35:O35)</f>
        <v>10</v>
      </c>
      <c r="Q35" s="3" t="str">
        <f>IF(P35&gt;=17,"Tier 1",IF(P35&gt;=14,"Tier 2",IF(P35&gt;=11,"Tier 3","Tier 4")))</f>
        <v>Tier 4</v>
      </c>
      <c r="R35" s="2" t="s">
        <v>579</v>
      </c>
      <c r="S35" s="2" t="s">
        <v>573</v>
      </c>
      <c r="T35" s="2" t="s">
        <v>580</v>
      </c>
      <c r="U35" s="2" t="s">
        <v>39</v>
      </c>
      <c r="V35" s="2" t="s">
        <v>40</v>
      </c>
      <c r="W35" s="2" t="s">
        <v>394</v>
      </c>
      <c r="X35" s="2" t="s">
        <v>395</v>
      </c>
      <c r="Y35" s="2" t="s">
        <v>146</v>
      </c>
      <c r="Z35" s="2" t="s">
        <v>39</v>
      </c>
    </row>
    <row r="36" spans="1:26" ht="31">
      <c r="A36" s="2" t="s">
        <v>581</v>
      </c>
      <c r="B36" s="2" t="s">
        <v>45</v>
      </c>
      <c r="C36" s="2" t="s">
        <v>582</v>
      </c>
      <c r="D36" s="2" t="s">
        <v>583</v>
      </c>
      <c r="E36" s="2" t="s">
        <v>584</v>
      </c>
      <c r="F36" s="2" t="s">
        <v>31</v>
      </c>
      <c r="G36" s="2" t="s">
        <v>585</v>
      </c>
      <c r="H36" s="2" t="s">
        <v>317</v>
      </c>
      <c r="I36" s="2" t="s">
        <v>62</v>
      </c>
      <c r="J36" s="2" t="s">
        <v>35</v>
      </c>
      <c r="K36" s="2" t="s">
        <v>322</v>
      </c>
      <c r="L36" s="3">
        <v>4</v>
      </c>
      <c r="M36" s="3">
        <v>5</v>
      </c>
      <c r="N36" s="3">
        <v>5</v>
      </c>
      <c r="O36" s="3">
        <v>3</v>
      </c>
      <c r="P36" s="3">
        <f>SUM(L36:O36)</f>
        <v>17</v>
      </c>
      <c r="Q36" s="3" t="str">
        <f>IF(P36&gt;=17,"Tier 1",IF(P36&gt;=14,"Tier 2",IF(P36&gt;=11,"Tier 3","Tier 4")))</f>
        <v>Tier 1</v>
      </c>
      <c r="R36" s="2" t="s">
        <v>586</v>
      </c>
      <c r="S36" s="2" t="s">
        <v>582</v>
      </c>
      <c r="T36" s="2" t="s">
        <v>587</v>
      </c>
      <c r="U36" s="2" t="s">
        <v>39</v>
      </c>
      <c r="V36" s="2" t="s">
        <v>40</v>
      </c>
      <c r="W36" s="2" t="s">
        <v>403</v>
      </c>
      <c r="X36" s="2" t="s">
        <v>404</v>
      </c>
      <c r="Y36" s="2" t="s">
        <v>405</v>
      </c>
      <c r="Z36" s="2" t="s">
        <v>39</v>
      </c>
    </row>
    <row r="37" spans="1:26" ht="30">
      <c r="A37" s="2" t="s">
        <v>168</v>
      </c>
      <c r="B37" s="2" t="s">
        <v>126</v>
      </c>
      <c r="C37" s="2" t="s">
        <v>169</v>
      </c>
      <c r="D37" s="2" t="s">
        <v>170</v>
      </c>
      <c r="E37" s="2" t="s">
        <v>171</v>
      </c>
      <c r="F37" s="2" t="s">
        <v>31</v>
      </c>
      <c r="G37" s="2" t="s">
        <v>172</v>
      </c>
      <c r="H37" s="2" t="s">
        <v>173</v>
      </c>
      <c r="I37" s="2" t="s">
        <v>72</v>
      </c>
      <c r="J37" s="2" t="s">
        <v>35</v>
      </c>
      <c r="K37" s="2" t="s">
        <v>174</v>
      </c>
      <c r="L37" s="3">
        <v>4</v>
      </c>
      <c r="M37" s="3">
        <v>4</v>
      </c>
      <c r="N37" s="3">
        <v>4</v>
      </c>
      <c r="O37" s="3">
        <v>4</v>
      </c>
      <c r="P37" s="3">
        <f>SUM(L37:O37)</f>
        <v>16</v>
      </c>
      <c r="Q37" s="3" t="str">
        <f>IF(P37&gt;=17,"Tier 1",IF(P37&gt;=14,"Tier 2",IF(P37&gt;=11,"Tier 3","Tier 4")))</f>
        <v>Tier 2</v>
      </c>
      <c r="R37" s="2" t="s">
        <v>175</v>
      </c>
      <c r="S37" s="2" t="s">
        <v>169</v>
      </c>
      <c r="T37" s="2" t="s">
        <v>52</v>
      </c>
      <c r="U37" s="2" t="s">
        <v>39</v>
      </c>
      <c r="V37" s="2" t="s">
        <v>64</v>
      </c>
      <c r="W37" s="2"/>
      <c r="X37" s="2" t="s">
        <v>284</v>
      </c>
      <c r="Y37" s="2" t="s">
        <v>408</v>
      </c>
      <c r="Z37" s="2" t="s">
        <v>39</v>
      </c>
    </row>
    <row r="38" spans="1:26" ht="31">
      <c r="A38" s="2" t="s">
        <v>137</v>
      </c>
      <c r="B38" s="2" t="s">
        <v>27</v>
      </c>
      <c r="C38" s="2" t="s">
        <v>138</v>
      </c>
      <c r="D38" s="2" t="s">
        <v>139</v>
      </c>
      <c r="E38" s="2" t="s">
        <v>140</v>
      </c>
      <c r="F38" s="2" t="s">
        <v>31</v>
      </c>
      <c r="G38" s="2" t="s">
        <v>141</v>
      </c>
      <c r="H38" s="2" t="s">
        <v>142</v>
      </c>
      <c r="I38" s="2" t="s">
        <v>34</v>
      </c>
      <c r="J38" s="2" t="s">
        <v>35</v>
      </c>
      <c r="K38" s="2" t="s">
        <v>36</v>
      </c>
      <c r="L38" s="3">
        <v>4</v>
      </c>
      <c r="M38" s="3">
        <v>5</v>
      </c>
      <c r="N38" s="3">
        <v>5</v>
      </c>
      <c r="O38" s="3">
        <v>3</v>
      </c>
      <c r="P38" s="3">
        <f>SUM(L38:O38)</f>
        <v>17</v>
      </c>
      <c r="Q38" s="3" t="str">
        <f>IF(P38&gt;=17,"Tier 1",IF(P38&gt;=14,"Tier 2",IF(P38&gt;=11,"Tier 3","Tier 4")))</f>
        <v>Tier 1</v>
      </c>
      <c r="R38" s="2" t="s">
        <v>143</v>
      </c>
      <c r="S38" s="2" t="s">
        <v>138</v>
      </c>
      <c r="T38" s="2" t="s">
        <v>38</v>
      </c>
      <c r="U38" s="2" t="s">
        <v>39</v>
      </c>
      <c r="V38" s="2" t="s">
        <v>40</v>
      </c>
      <c r="W38" s="2" t="s">
        <v>420</v>
      </c>
      <c r="X38" s="2" t="s">
        <v>421</v>
      </c>
      <c r="Y38" s="2" t="s">
        <v>420</v>
      </c>
      <c r="Z38" s="2" t="s">
        <v>39</v>
      </c>
    </row>
    <row r="39" spans="1:26" ht="30">
      <c r="A39" s="2" t="s">
        <v>156</v>
      </c>
      <c r="B39" s="2" t="s">
        <v>157</v>
      </c>
      <c r="C39" s="2" t="s">
        <v>158</v>
      </c>
      <c r="D39" s="2" t="s">
        <v>159</v>
      </c>
      <c r="E39" s="2" t="s">
        <v>160</v>
      </c>
      <c r="F39" s="2" t="s">
        <v>31</v>
      </c>
      <c r="G39" s="2" t="s">
        <v>161</v>
      </c>
      <c r="H39" s="2" t="s">
        <v>162</v>
      </c>
      <c r="I39" s="2" t="s">
        <v>163</v>
      </c>
      <c r="J39" s="2" t="s">
        <v>164</v>
      </c>
      <c r="K39" s="2" t="s">
        <v>165</v>
      </c>
      <c r="L39" s="3">
        <v>2</v>
      </c>
      <c r="M39" s="3">
        <v>4</v>
      </c>
      <c r="N39" s="3">
        <v>4</v>
      </c>
      <c r="O39" s="3">
        <v>2</v>
      </c>
      <c r="P39" s="3">
        <f>SUM(L39:O39)</f>
        <v>12</v>
      </c>
      <c r="Q39" s="3" t="str">
        <f>IF(P39&gt;=17,"Tier 1",IF(P39&gt;=14,"Tier 2",IF(P39&gt;=11,"Tier 3","Tier 4")))</f>
        <v>Tier 3</v>
      </c>
      <c r="R39" s="2" t="s">
        <v>166</v>
      </c>
      <c r="S39" s="2" t="s">
        <v>167</v>
      </c>
      <c r="T39" s="2" t="s">
        <v>38</v>
      </c>
      <c r="U39" s="2" t="s">
        <v>39</v>
      </c>
      <c r="V39" s="2" t="s">
        <v>64</v>
      </c>
      <c r="W39" s="2"/>
      <c r="X39" s="2" t="s">
        <v>428</v>
      </c>
      <c r="Y39" s="2" t="s">
        <v>424</v>
      </c>
      <c r="Z39" s="2" t="s">
        <v>39</v>
      </c>
    </row>
    <row r="40" spans="1:26" ht="31">
      <c r="A40" s="2" t="s">
        <v>179</v>
      </c>
      <c r="B40" s="2" t="s">
        <v>126</v>
      </c>
      <c r="C40" s="2" t="s">
        <v>180</v>
      </c>
      <c r="D40" s="2" t="s">
        <v>181</v>
      </c>
      <c r="E40" s="2" t="s">
        <v>182</v>
      </c>
      <c r="F40" s="2" t="s">
        <v>31</v>
      </c>
      <c r="G40" s="2" t="s">
        <v>183</v>
      </c>
      <c r="H40" s="2" t="s">
        <v>184</v>
      </c>
      <c r="I40" s="2" t="s">
        <v>72</v>
      </c>
      <c r="J40" s="2" t="s">
        <v>164</v>
      </c>
      <c r="K40" s="2" t="s">
        <v>185</v>
      </c>
      <c r="L40" s="3">
        <v>3</v>
      </c>
      <c r="M40" s="3">
        <v>3</v>
      </c>
      <c r="N40" s="3">
        <v>4</v>
      </c>
      <c r="O40" s="3">
        <v>4</v>
      </c>
      <c r="P40" s="3">
        <f>SUM(L40:O40)</f>
        <v>14</v>
      </c>
      <c r="Q40" s="3" t="str">
        <f>IF(P40&gt;=17,"Tier 1",IF(P40&gt;=14,"Tier 2",IF(P40&gt;=11,"Tier 3","Tier 4")))</f>
        <v>Tier 2</v>
      </c>
      <c r="R40" s="2" t="s">
        <v>186</v>
      </c>
      <c r="S40" s="2" t="s">
        <v>187</v>
      </c>
      <c r="T40" s="2" t="s">
        <v>38</v>
      </c>
      <c r="U40" s="2" t="s">
        <v>39</v>
      </c>
      <c r="V40" s="2" t="s">
        <v>40</v>
      </c>
      <c r="W40" s="2" t="s">
        <v>438</v>
      </c>
      <c r="X40" s="2" t="s">
        <v>439</v>
      </c>
      <c r="Y40" s="2" t="s">
        <v>146</v>
      </c>
      <c r="Z40" s="2" t="s">
        <v>39</v>
      </c>
    </row>
    <row r="41" spans="1:26" ht="31">
      <c r="A41" s="2" t="s">
        <v>147</v>
      </c>
      <c r="B41" s="2" t="s">
        <v>27</v>
      </c>
      <c r="C41" s="2" t="s">
        <v>148</v>
      </c>
      <c r="D41" s="2" t="s">
        <v>149</v>
      </c>
      <c r="E41" s="2" t="s">
        <v>150</v>
      </c>
      <c r="F41" s="2" t="s">
        <v>31</v>
      </c>
      <c r="G41" s="2" t="s">
        <v>151</v>
      </c>
      <c r="H41" s="2" t="s">
        <v>142</v>
      </c>
      <c r="I41" s="2" t="s">
        <v>72</v>
      </c>
      <c r="J41" s="2" t="s">
        <v>152</v>
      </c>
      <c r="K41" s="2" t="s">
        <v>36</v>
      </c>
      <c r="L41" s="3">
        <v>3</v>
      </c>
      <c r="M41" s="3">
        <v>4</v>
      </c>
      <c r="N41" s="3">
        <v>4</v>
      </c>
      <c r="O41" s="3">
        <v>3</v>
      </c>
      <c r="P41" s="3">
        <f>SUM(L41:O41)</f>
        <v>14</v>
      </c>
      <c r="Q41" s="3" t="str">
        <f>IF(P41&gt;=17,"Tier 1",IF(P41&gt;=14,"Tier 2",IF(P41&gt;=11,"Tier 3","Tier 4")))</f>
        <v>Tier 2</v>
      </c>
      <c r="R41" s="2" t="s">
        <v>153</v>
      </c>
      <c r="S41" s="2" t="s">
        <v>148</v>
      </c>
      <c r="T41" s="2" t="s">
        <v>38</v>
      </c>
      <c r="U41" s="2" t="s">
        <v>39</v>
      </c>
      <c r="V41" s="2" t="s">
        <v>40</v>
      </c>
      <c r="W41" s="2" t="s">
        <v>448</v>
      </c>
      <c r="X41" s="2" t="s">
        <v>449</v>
      </c>
      <c r="Y41" s="2" t="s">
        <v>146</v>
      </c>
      <c r="Z41" s="2" t="s">
        <v>39</v>
      </c>
    </row>
    <row r="42" spans="1:26" ht="31">
      <c r="A42" s="2" t="s">
        <v>715</v>
      </c>
      <c r="B42" s="2" t="s">
        <v>716</v>
      </c>
      <c r="C42" s="2" t="s">
        <v>717</v>
      </c>
      <c r="D42" s="2" t="s">
        <v>718</v>
      </c>
      <c r="E42" s="2" t="s">
        <v>719</v>
      </c>
      <c r="F42" s="2" t="s">
        <v>337</v>
      </c>
      <c r="G42" s="2" t="s">
        <v>720</v>
      </c>
      <c r="H42" s="2" t="s">
        <v>721</v>
      </c>
      <c r="I42" s="2" t="s">
        <v>252</v>
      </c>
      <c r="J42" s="2" t="s">
        <v>164</v>
      </c>
      <c r="K42" s="2" t="s">
        <v>722</v>
      </c>
      <c r="L42" s="3">
        <v>2</v>
      </c>
      <c r="M42" s="3">
        <v>3</v>
      </c>
      <c r="N42" s="3">
        <v>4</v>
      </c>
      <c r="O42" s="3">
        <v>1</v>
      </c>
      <c r="P42" s="3">
        <f>SUM(L42:O42)</f>
        <v>10</v>
      </c>
      <c r="Q42" s="3" t="str">
        <f>IF(P42&gt;=17,"Tier 1",IF(P42&gt;=14,"Tier 2",IF(P42&gt;=11,"Tier 3","Tier 4")))</f>
        <v>Tier 4</v>
      </c>
      <c r="R42" s="2" t="s">
        <v>723</v>
      </c>
      <c r="S42" s="2" t="s">
        <v>717</v>
      </c>
      <c r="T42" s="2" t="s">
        <v>255</v>
      </c>
      <c r="U42" s="2" t="s">
        <v>39</v>
      </c>
      <c r="V42" s="2" t="s">
        <v>40</v>
      </c>
      <c r="W42" s="2" t="s">
        <v>456</v>
      </c>
      <c r="X42" s="2" t="s">
        <v>457</v>
      </c>
      <c r="Y42" s="2" t="s">
        <v>458</v>
      </c>
      <c r="Z42" s="2" t="s">
        <v>39</v>
      </c>
    </row>
    <row r="43" spans="1:26" ht="30">
      <c r="A43" s="2" t="s">
        <v>706</v>
      </c>
      <c r="B43" s="2" t="s">
        <v>388</v>
      </c>
      <c r="C43" s="2" t="s">
        <v>707</v>
      </c>
      <c r="D43" s="2" t="s">
        <v>708</v>
      </c>
      <c r="E43" s="2" t="s">
        <v>709</v>
      </c>
      <c r="F43" s="2" t="s">
        <v>31</v>
      </c>
      <c r="G43" s="2" t="s">
        <v>710</v>
      </c>
      <c r="H43" s="2" t="s">
        <v>392</v>
      </c>
      <c r="I43" s="2" t="s">
        <v>252</v>
      </c>
      <c r="J43" s="2" t="s">
        <v>152</v>
      </c>
      <c r="K43" s="2" t="s">
        <v>309</v>
      </c>
      <c r="L43" s="3">
        <v>3</v>
      </c>
      <c r="M43" s="3">
        <v>3</v>
      </c>
      <c r="N43" s="3">
        <v>5</v>
      </c>
      <c r="O43" s="3">
        <v>2</v>
      </c>
      <c r="P43" s="3">
        <f>SUM(L43:O43)</f>
        <v>13</v>
      </c>
      <c r="Q43" s="3" t="str">
        <f>IF(P43&gt;=17,"Tier 1",IF(P43&gt;=14,"Tier 2",IF(P43&gt;=11,"Tier 3","Tier 4")))</f>
        <v>Tier 3</v>
      </c>
      <c r="R43" s="2" t="s">
        <v>711</v>
      </c>
      <c r="S43" s="2" t="s">
        <v>707</v>
      </c>
      <c r="T43" s="2" t="s">
        <v>255</v>
      </c>
      <c r="U43" s="2" t="s">
        <v>39</v>
      </c>
      <c r="V43" s="2" t="s">
        <v>266</v>
      </c>
      <c r="W43" s="2"/>
      <c r="X43" s="2" t="s">
        <v>466</v>
      </c>
      <c r="Y43" s="2" t="s">
        <v>460</v>
      </c>
      <c r="Z43" s="2" t="s">
        <v>39</v>
      </c>
    </row>
    <row r="44" spans="1:26" ht="31">
      <c r="A44" s="2" t="s">
        <v>697</v>
      </c>
      <c r="B44" s="2" t="s">
        <v>698</v>
      </c>
      <c r="C44" s="2" t="s">
        <v>699</v>
      </c>
      <c r="D44" s="2" t="s">
        <v>700</v>
      </c>
      <c r="E44" s="2" t="s">
        <v>701</v>
      </c>
      <c r="F44" s="2" t="s">
        <v>337</v>
      </c>
      <c r="G44" s="2" t="s">
        <v>702</v>
      </c>
      <c r="H44" s="2" t="s">
        <v>703</v>
      </c>
      <c r="I44" s="2" t="s">
        <v>704</v>
      </c>
      <c r="J44" s="2" t="s">
        <v>164</v>
      </c>
      <c r="K44" s="2" t="s">
        <v>94</v>
      </c>
      <c r="L44" s="3">
        <v>3</v>
      </c>
      <c r="M44" s="3">
        <v>3</v>
      </c>
      <c r="N44" s="3">
        <v>4</v>
      </c>
      <c r="O44" s="3">
        <v>2</v>
      </c>
      <c r="P44" s="3">
        <f>SUM(L44:O44)</f>
        <v>12</v>
      </c>
      <c r="Q44" s="3" t="str">
        <f>IF(P44&gt;=17,"Tier 1",IF(P44&gt;=14,"Tier 2",IF(P44&gt;=11,"Tier 3","Tier 4")))</f>
        <v>Tier 3</v>
      </c>
      <c r="R44" s="2" t="s">
        <v>705</v>
      </c>
      <c r="S44" s="2" t="s">
        <v>699</v>
      </c>
      <c r="T44" s="2" t="s">
        <v>255</v>
      </c>
      <c r="U44" s="2" t="s">
        <v>39</v>
      </c>
      <c r="V44" s="2" t="s">
        <v>40</v>
      </c>
      <c r="W44" s="2" t="s">
        <v>53</v>
      </c>
      <c r="X44" s="2" t="s">
        <v>473</v>
      </c>
      <c r="Y44" s="2" t="s">
        <v>474</v>
      </c>
      <c r="Z44" s="2" t="s">
        <v>39</v>
      </c>
    </row>
    <row r="45" spans="1:26" ht="31">
      <c r="A45" s="2" t="s">
        <v>534</v>
      </c>
      <c r="B45" s="2" t="s">
        <v>534</v>
      </c>
      <c r="C45" s="2" t="s">
        <v>535</v>
      </c>
      <c r="D45" s="2" t="s">
        <v>536</v>
      </c>
      <c r="E45" s="2" t="s">
        <v>537</v>
      </c>
      <c r="F45" s="2" t="s">
        <v>31</v>
      </c>
      <c r="G45" s="2" t="s">
        <v>538</v>
      </c>
      <c r="H45" s="2" t="s">
        <v>360</v>
      </c>
      <c r="I45" s="2" t="s">
        <v>34</v>
      </c>
      <c r="J45" s="2" t="s">
        <v>35</v>
      </c>
      <c r="K45" s="2" t="s">
        <v>539</v>
      </c>
      <c r="L45" s="3">
        <v>4</v>
      </c>
      <c r="M45" s="3">
        <v>4</v>
      </c>
      <c r="N45" s="3">
        <v>4</v>
      </c>
      <c r="O45" s="3">
        <v>4</v>
      </c>
      <c r="P45" s="3">
        <f>SUM(L45:O45)</f>
        <v>16</v>
      </c>
      <c r="Q45" s="3" t="str">
        <f>IF(P45&gt;=17,"Tier 1",IF(P45&gt;=14,"Tier 2",IF(P45&gt;=11,"Tier 3","Tier 4")))</f>
        <v>Tier 2</v>
      </c>
      <c r="R45" s="2" t="s">
        <v>540</v>
      </c>
      <c r="S45" s="2" t="s">
        <v>535</v>
      </c>
      <c r="T45" s="2" t="s">
        <v>255</v>
      </c>
      <c r="U45" s="2" t="s">
        <v>39</v>
      </c>
      <c r="V45" s="2" t="s">
        <v>40</v>
      </c>
      <c r="W45" s="2" t="s">
        <v>483</v>
      </c>
      <c r="X45" s="2" t="s">
        <v>484</v>
      </c>
      <c r="Y45" s="2" t="s">
        <v>483</v>
      </c>
      <c r="Z45" s="2" t="s">
        <v>39</v>
      </c>
    </row>
    <row r="46" spans="1:26" ht="31">
      <c r="A46" s="2" t="s">
        <v>96</v>
      </c>
      <c r="B46" s="2" t="s">
        <v>97</v>
      </c>
      <c r="C46" s="2" t="s">
        <v>98</v>
      </c>
      <c r="D46" s="2" t="s">
        <v>99</v>
      </c>
      <c r="E46" s="2" t="s">
        <v>100</v>
      </c>
      <c r="F46" s="2" t="s">
        <v>101</v>
      </c>
      <c r="G46" s="2" t="s">
        <v>102</v>
      </c>
      <c r="H46" s="2" t="s">
        <v>103</v>
      </c>
      <c r="I46" s="2" t="s">
        <v>34</v>
      </c>
      <c r="J46" s="2" t="s">
        <v>35</v>
      </c>
      <c r="K46" s="2" t="s">
        <v>104</v>
      </c>
      <c r="L46" s="3">
        <v>3</v>
      </c>
      <c r="M46" s="3">
        <v>5</v>
      </c>
      <c r="N46" s="3">
        <v>5</v>
      </c>
      <c r="O46" s="3">
        <v>2</v>
      </c>
      <c r="P46" s="3">
        <f>SUM(L46:O46)</f>
        <v>15</v>
      </c>
      <c r="Q46" s="3" t="str">
        <f>IF(P46&gt;=17,"Tier 1",IF(P46&gt;=14,"Tier 2",IF(P46&gt;=11,"Tier 3","Tier 4")))</f>
        <v>Tier 2</v>
      </c>
      <c r="R46" s="2" t="s">
        <v>105</v>
      </c>
      <c r="S46" s="2" t="s">
        <v>106</v>
      </c>
      <c r="T46" s="2" t="s">
        <v>38</v>
      </c>
      <c r="U46" s="2" t="s">
        <v>39</v>
      </c>
      <c r="V46" s="2" t="s">
        <v>40</v>
      </c>
      <c r="W46" s="2" t="s">
        <v>491</v>
      </c>
      <c r="X46" s="2" t="s">
        <v>484</v>
      </c>
      <c r="Y46" s="2" t="s">
        <v>491</v>
      </c>
      <c r="Z46" s="2" t="s">
        <v>39</v>
      </c>
    </row>
    <row r="47" spans="1:26" ht="30">
      <c r="A47" s="2" t="s">
        <v>108</v>
      </c>
      <c r="B47" s="2" t="s">
        <v>45</v>
      </c>
      <c r="C47" s="2" t="s">
        <v>109</v>
      </c>
      <c r="D47" s="2" t="s">
        <v>99</v>
      </c>
      <c r="E47" s="2" t="s">
        <v>110</v>
      </c>
      <c r="F47" s="2" t="s">
        <v>31</v>
      </c>
      <c r="G47" s="2" t="s">
        <v>111</v>
      </c>
      <c r="H47" s="2" t="s">
        <v>112</v>
      </c>
      <c r="I47" s="2" t="s">
        <v>34</v>
      </c>
      <c r="J47" s="2" t="s">
        <v>35</v>
      </c>
      <c r="K47" s="2" t="s">
        <v>50</v>
      </c>
      <c r="L47" s="3">
        <v>4</v>
      </c>
      <c r="M47" s="3">
        <v>5</v>
      </c>
      <c r="N47" s="3">
        <v>5</v>
      </c>
      <c r="O47" s="3">
        <v>3</v>
      </c>
      <c r="P47" s="3">
        <f>SUM(L47:O47)</f>
        <v>17</v>
      </c>
      <c r="Q47" s="3" t="str">
        <f>IF(P47&gt;=17,"Tier 1",IF(P47&gt;=14,"Tier 2",IF(P47&gt;=11,"Tier 3","Tier 4")))</f>
        <v>Tier 1</v>
      </c>
      <c r="R47" s="2" t="s">
        <v>113</v>
      </c>
      <c r="S47" s="2" t="s">
        <v>109</v>
      </c>
      <c r="T47" s="2" t="s">
        <v>52</v>
      </c>
      <c r="U47" s="2" t="s">
        <v>39</v>
      </c>
      <c r="V47" s="2" t="s">
        <v>64</v>
      </c>
      <c r="W47" s="2"/>
      <c r="X47" s="2" t="s">
        <v>114</v>
      </c>
      <c r="Y47" s="2" t="s">
        <v>494</v>
      </c>
      <c r="Z47" s="2" t="s">
        <v>39</v>
      </c>
    </row>
    <row r="48" spans="1:26" ht="31">
      <c r="A48" s="2" t="s">
        <v>544</v>
      </c>
      <c r="B48" s="2" t="s">
        <v>544</v>
      </c>
      <c r="C48" s="2" t="s">
        <v>545</v>
      </c>
      <c r="D48" s="2" t="s">
        <v>546</v>
      </c>
      <c r="E48" s="2" t="s">
        <v>547</v>
      </c>
      <c r="F48" s="2" t="s">
        <v>31</v>
      </c>
      <c r="G48" s="2" t="s">
        <v>548</v>
      </c>
      <c r="H48" s="2" t="s">
        <v>131</v>
      </c>
      <c r="I48" s="2" t="s">
        <v>72</v>
      </c>
      <c r="J48" s="2" t="s">
        <v>35</v>
      </c>
      <c r="K48" s="2" t="s">
        <v>549</v>
      </c>
      <c r="L48" s="3">
        <v>4</v>
      </c>
      <c r="M48" s="3">
        <v>4</v>
      </c>
      <c r="N48" s="3">
        <v>4</v>
      </c>
      <c r="O48" s="3">
        <v>4</v>
      </c>
      <c r="P48" s="3">
        <f>SUM(L48:O48)</f>
        <v>16</v>
      </c>
      <c r="Q48" s="3" t="str">
        <f>IF(P48&gt;=17,"Tier 1",IF(P48&gt;=14,"Tier 2",IF(P48&gt;=11,"Tier 3","Tier 4")))</f>
        <v>Tier 2</v>
      </c>
      <c r="R48" s="2" t="s">
        <v>550</v>
      </c>
      <c r="S48" s="2" t="s">
        <v>545</v>
      </c>
      <c r="T48" s="2" t="s">
        <v>551</v>
      </c>
      <c r="U48" s="2" t="s">
        <v>39</v>
      </c>
      <c r="V48" s="2" t="s">
        <v>40</v>
      </c>
      <c r="W48" s="2" t="s">
        <v>508</v>
      </c>
      <c r="X48" s="2" t="s">
        <v>509</v>
      </c>
      <c r="Y48" s="2" t="s">
        <v>510</v>
      </c>
      <c r="Z48" s="2" t="s">
        <v>39</v>
      </c>
    </row>
    <row r="49" spans="1:26" ht="31">
      <c r="A49" s="2" t="s">
        <v>688</v>
      </c>
      <c r="B49" s="2" t="s">
        <v>689</v>
      </c>
      <c r="C49" s="2" t="s">
        <v>677</v>
      </c>
      <c r="D49" s="2" t="s">
        <v>690</v>
      </c>
      <c r="E49" s="2" t="s">
        <v>691</v>
      </c>
      <c r="F49" s="2" t="s">
        <v>680</v>
      </c>
      <c r="G49" s="2" t="s">
        <v>692</v>
      </c>
      <c r="H49" s="2" t="s">
        <v>131</v>
      </c>
      <c r="I49" s="2" t="s">
        <v>235</v>
      </c>
      <c r="J49" s="2" t="s">
        <v>164</v>
      </c>
      <c r="K49" s="2" t="s">
        <v>693</v>
      </c>
      <c r="L49" s="3">
        <v>2</v>
      </c>
      <c r="M49" s="3">
        <v>2</v>
      </c>
      <c r="N49" s="3">
        <v>3</v>
      </c>
      <c r="O49" s="3">
        <v>2</v>
      </c>
      <c r="P49" s="3">
        <f>SUM(L49:O49)</f>
        <v>9</v>
      </c>
      <c r="Q49" s="3" t="str">
        <f>IF(P49&gt;=17,"Tier 1",IF(P49&gt;=14,"Tier 2",IF(P49&gt;=11,"Tier 3","Tier 4")))</f>
        <v>Tier 4</v>
      </c>
      <c r="R49" s="2" t="s">
        <v>694</v>
      </c>
      <c r="S49" s="2" t="s">
        <v>677</v>
      </c>
      <c r="T49" s="2" t="s">
        <v>341</v>
      </c>
      <c r="U49" s="2" t="s">
        <v>39</v>
      </c>
      <c r="V49" s="2" t="s">
        <v>40</v>
      </c>
      <c r="W49" s="2" t="s">
        <v>516</v>
      </c>
      <c r="X49" s="2" t="s">
        <v>517</v>
      </c>
      <c r="Y49" s="2" t="s">
        <v>510</v>
      </c>
      <c r="Z49" s="2" t="s">
        <v>39</v>
      </c>
    </row>
    <row r="50" spans="1:26" ht="31">
      <c r="A50" s="2" t="s">
        <v>675</v>
      </c>
      <c r="B50" s="2" t="s">
        <v>676</v>
      </c>
      <c r="C50" s="2" t="s">
        <v>677</v>
      </c>
      <c r="D50" s="2" t="s">
        <v>678</v>
      </c>
      <c r="E50" s="2" t="s">
        <v>679</v>
      </c>
      <c r="F50" s="2" t="s">
        <v>680</v>
      </c>
      <c r="G50" s="2" t="s">
        <v>681</v>
      </c>
      <c r="H50" s="2" t="s">
        <v>682</v>
      </c>
      <c r="I50" s="2" t="s">
        <v>617</v>
      </c>
      <c r="J50" s="2" t="s">
        <v>164</v>
      </c>
      <c r="K50" s="2" t="s">
        <v>683</v>
      </c>
      <c r="L50" s="3">
        <v>3</v>
      </c>
      <c r="M50" s="3">
        <v>2</v>
      </c>
      <c r="N50" s="3">
        <v>4</v>
      </c>
      <c r="O50" s="3">
        <v>3</v>
      </c>
      <c r="P50" s="3">
        <f>SUM(L50:O50)</f>
        <v>12</v>
      </c>
      <c r="Q50" s="3" t="str">
        <f>IF(P50&gt;=17,"Tier 1",IF(P50&gt;=14,"Tier 2",IF(P50&gt;=11,"Tier 3","Tier 4")))</f>
        <v>Tier 3</v>
      </c>
      <c r="R50" s="2" t="s">
        <v>684</v>
      </c>
      <c r="S50" s="2" t="s">
        <v>677</v>
      </c>
      <c r="T50" s="2" t="s">
        <v>255</v>
      </c>
      <c r="U50" s="2" t="s">
        <v>39</v>
      </c>
      <c r="V50" s="2" t="s">
        <v>40</v>
      </c>
      <c r="W50" s="2" t="s">
        <v>525</v>
      </c>
      <c r="X50" s="2" t="s">
        <v>526</v>
      </c>
      <c r="Y50" s="2" t="s">
        <v>527</v>
      </c>
      <c r="Z50" s="2" t="s">
        <v>39</v>
      </c>
    </row>
    <row r="51" spans="1:26" ht="30">
      <c r="A51" s="2" t="s">
        <v>190</v>
      </c>
      <c r="B51" s="2" t="s">
        <v>126</v>
      </c>
      <c r="C51" s="2" t="s">
        <v>191</v>
      </c>
      <c r="D51" s="2" t="s">
        <v>192</v>
      </c>
      <c r="E51" s="2" t="s">
        <v>193</v>
      </c>
      <c r="F51" s="2" t="s">
        <v>31</v>
      </c>
      <c r="G51" s="2" t="s">
        <v>194</v>
      </c>
      <c r="H51" s="2" t="s">
        <v>195</v>
      </c>
      <c r="I51" s="2" t="s">
        <v>163</v>
      </c>
      <c r="J51" s="2" t="s">
        <v>164</v>
      </c>
      <c r="K51" s="2" t="s">
        <v>196</v>
      </c>
      <c r="L51" s="3">
        <v>3</v>
      </c>
      <c r="M51" s="3">
        <v>3</v>
      </c>
      <c r="N51" s="3">
        <v>3</v>
      </c>
      <c r="O51" s="3">
        <v>4</v>
      </c>
      <c r="P51" s="3">
        <f>SUM(L51:O51)</f>
        <v>13</v>
      </c>
      <c r="Q51" s="3" t="str">
        <f>IF(P51&gt;=17,"Tier 1",IF(P51&gt;=14,"Tier 2",IF(P51&gt;=11,"Tier 3","Tier 4")))</f>
        <v>Tier 3</v>
      </c>
      <c r="R51" s="2" t="s">
        <v>197</v>
      </c>
      <c r="S51" s="2" t="s">
        <v>191</v>
      </c>
      <c r="T51" s="2" t="s">
        <v>52</v>
      </c>
      <c r="U51" s="2" t="s">
        <v>39</v>
      </c>
      <c r="V51" s="2" t="s">
        <v>64</v>
      </c>
      <c r="W51" s="2"/>
      <c r="X51" s="2" t="s">
        <v>114</v>
      </c>
      <c r="Y51" s="2" t="s">
        <v>529</v>
      </c>
      <c r="Z51" s="2" t="s">
        <v>39</v>
      </c>
    </row>
    <row r="52" spans="1:26" ht="31">
      <c r="A52" s="2" t="s">
        <v>759</v>
      </c>
      <c r="B52" s="2" t="s">
        <v>759</v>
      </c>
      <c r="C52" s="2" t="s">
        <v>760</v>
      </c>
      <c r="D52" s="2" t="s">
        <v>761</v>
      </c>
      <c r="E52" s="2" t="s">
        <v>762</v>
      </c>
      <c r="F52" s="2" t="s">
        <v>31</v>
      </c>
      <c r="G52" s="2" t="s">
        <v>763</v>
      </c>
      <c r="H52" s="2" t="s">
        <v>360</v>
      </c>
      <c r="I52" s="2" t="s">
        <v>62</v>
      </c>
      <c r="J52" s="2" t="s">
        <v>164</v>
      </c>
      <c r="K52" s="2" t="s">
        <v>464</v>
      </c>
      <c r="L52" s="3">
        <v>3</v>
      </c>
      <c r="M52" s="3">
        <v>2</v>
      </c>
      <c r="N52" s="3">
        <v>3</v>
      </c>
      <c r="O52" s="3">
        <v>3</v>
      </c>
      <c r="P52" s="3">
        <f>SUM(L52:O52)</f>
        <v>11</v>
      </c>
      <c r="Q52" s="3" t="str">
        <f>IF(P52&gt;=17,"Tier 1",IF(P52&gt;=14,"Tier 2",IF(P52&gt;=11,"Tier 3","Tier 4")))</f>
        <v>Tier 3</v>
      </c>
      <c r="R52" s="2" t="s">
        <v>764</v>
      </c>
      <c r="S52" s="2" t="s">
        <v>760</v>
      </c>
      <c r="T52" s="2" t="s">
        <v>255</v>
      </c>
      <c r="U52" s="2" t="s">
        <v>39</v>
      </c>
      <c r="V52" s="2" t="s">
        <v>40</v>
      </c>
      <c r="W52" s="2" t="s">
        <v>541</v>
      </c>
      <c r="X52" s="2" t="s">
        <v>542</v>
      </c>
      <c r="Y52" s="2" t="s">
        <v>543</v>
      </c>
      <c r="Z52" s="2" t="s">
        <v>39</v>
      </c>
    </row>
    <row r="53" spans="1:26" ht="30">
      <c r="A53" s="2" t="s">
        <v>751</v>
      </c>
      <c r="B53" s="2" t="s">
        <v>751</v>
      </c>
      <c r="C53" s="2" t="s">
        <v>752</v>
      </c>
      <c r="D53" s="2" t="s">
        <v>753</v>
      </c>
      <c r="E53" s="2" t="s">
        <v>754</v>
      </c>
      <c r="F53" s="2" t="s">
        <v>31</v>
      </c>
      <c r="G53" s="2" t="s">
        <v>755</v>
      </c>
      <c r="H53" s="2" t="s">
        <v>131</v>
      </c>
      <c r="I53" s="2" t="s">
        <v>34</v>
      </c>
      <c r="J53" s="2" t="s">
        <v>152</v>
      </c>
      <c r="K53" s="2" t="s">
        <v>464</v>
      </c>
      <c r="L53" s="3">
        <v>3</v>
      </c>
      <c r="M53" s="3">
        <v>3</v>
      </c>
      <c r="N53" s="3">
        <v>4</v>
      </c>
      <c r="O53" s="3">
        <v>3</v>
      </c>
      <c r="P53" s="3">
        <f>SUM(L53:O53)</f>
        <v>13</v>
      </c>
      <c r="Q53" s="3" t="str">
        <f>IF(P53&gt;=17,"Tier 1",IF(P53&gt;=14,"Tier 2",IF(P53&gt;=11,"Tier 3","Tier 4")))</f>
        <v>Tier 3</v>
      </c>
      <c r="R53" s="2" t="s">
        <v>756</v>
      </c>
      <c r="S53" s="2" t="s">
        <v>752</v>
      </c>
      <c r="T53" s="2" t="s">
        <v>255</v>
      </c>
      <c r="U53" s="2" t="s">
        <v>39</v>
      </c>
      <c r="V53" s="2" t="s">
        <v>64</v>
      </c>
      <c r="W53" s="2"/>
      <c r="X53" s="2" t="s">
        <v>284</v>
      </c>
      <c r="Y53" s="2" t="s">
        <v>545</v>
      </c>
      <c r="Z53" s="2" t="s">
        <v>39</v>
      </c>
    </row>
    <row r="54" spans="1:26" ht="30">
      <c r="A54" s="2" t="s">
        <v>459</v>
      </c>
      <c r="B54" s="2" t="s">
        <v>423</v>
      </c>
      <c r="C54" s="2" t="s">
        <v>460</v>
      </c>
      <c r="D54" s="2" t="s">
        <v>461</v>
      </c>
      <c r="E54" s="2" t="s">
        <v>462</v>
      </c>
      <c r="F54" s="2" t="s">
        <v>31</v>
      </c>
      <c r="G54" s="2" t="s">
        <v>463</v>
      </c>
      <c r="H54" s="2" t="s">
        <v>360</v>
      </c>
      <c r="I54" s="2" t="s">
        <v>62</v>
      </c>
      <c r="J54" s="2" t="s">
        <v>35</v>
      </c>
      <c r="K54" s="2" t="s">
        <v>464</v>
      </c>
      <c r="L54" s="3">
        <v>3</v>
      </c>
      <c r="M54" s="3">
        <v>4</v>
      </c>
      <c r="N54" s="3">
        <v>4</v>
      </c>
      <c r="O54" s="3">
        <v>3</v>
      </c>
      <c r="P54" s="3">
        <f>SUM(L54:O54)</f>
        <v>14</v>
      </c>
      <c r="Q54" s="3" t="str">
        <f>IF(P54&gt;=17,"Tier 1",IF(P54&gt;=14,"Tier 2",IF(P54&gt;=11,"Tier 3","Tier 4")))</f>
        <v>Tier 2</v>
      </c>
      <c r="R54" s="2" t="s">
        <v>465</v>
      </c>
      <c r="S54" s="2" t="s">
        <v>460</v>
      </c>
      <c r="T54" s="2" t="s">
        <v>255</v>
      </c>
      <c r="U54" s="2" t="s">
        <v>39</v>
      </c>
      <c r="V54" s="2" t="s">
        <v>64</v>
      </c>
      <c r="W54" s="2"/>
      <c r="X54" s="2" t="s">
        <v>284</v>
      </c>
      <c r="Y54" s="2" t="s">
        <v>553</v>
      </c>
      <c r="Z54" s="2" t="s">
        <v>39</v>
      </c>
    </row>
    <row r="55" spans="1:26" ht="31">
      <c r="A55" s="2" t="s">
        <v>492</v>
      </c>
      <c r="B55" s="2" t="s">
        <v>493</v>
      </c>
      <c r="C55" s="2" t="s">
        <v>494</v>
      </c>
      <c r="D55" s="2" t="s">
        <v>495</v>
      </c>
      <c r="E55" s="2" t="s">
        <v>496</v>
      </c>
      <c r="F55" s="2" t="s">
        <v>31</v>
      </c>
      <c r="G55" s="2" t="s">
        <v>497</v>
      </c>
      <c r="H55" s="2" t="s">
        <v>498</v>
      </c>
      <c r="I55" s="2" t="s">
        <v>72</v>
      </c>
      <c r="J55" s="2" t="s">
        <v>164</v>
      </c>
      <c r="K55" s="2" t="s">
        <v>499</v>
      </c>
      <c r="L55" s="3">
        <v>2</v>
      </c>
      <c r="M55" s="3">
        <v>3</v>
      </c>
      <c r="N55" s="3">
        <v>4</v>
      </c>
      <c r="O55" s="3">
        <v>2</v>
      </c>
      <c r="P55" s="3">
        <f>SUM(L55:O55)</f>
        <v>11</v>
      </c>
      <c r="Q55" s="3" t="str">
        <f>IF(P55&gt;=17,"Tier 1",IF(P55&gt;=14,"Tier 2",IF(P55&gt;=11,"Tier 3","Tier 4")))</f>
        <v>Tier 3</v>
      </c>
      <c r="R55" s="2" t="s">
        <v>500</v>
      </c>
      <c r="S55" s="2" t="s">
        <v>494</v>
      </c>
      <c r="T55" s="2" t="s">
        <v>255</v>
      </c>
      <c r="U55" s="2" t="s">
        <v>39</v>
      </c>
      <c r="V55" s="2" t="s">
        <v>40</v>
      </c>
      <c r="W55" s="2" t="s">
        <v>568</v>
      </c>
      <c r="X55" s="2" t="s">
        <v>569</v>
      </c>
      <c r="Y55" s="2" t="s">
        <v>570</v>
      </c>
      <c r="Z55" s="2" t="s">
        <v>39</v>
      </c>
    </row>
    <row r="56" spans="1:26" ht="30">
      <c r="A56" s="2" t="s">
        <v>475</v>
      </c>
      <c r="B56" s="2" t="s">
        <v>476</v>
      </c>
      <c r="C56" s="2" t="s">
        <v>477</v>
      </c>
      <c r="D56" s="2" t="s">
        <v>478</v>
      </c>
      <c r="E56" s="2" t="s">
        <v>479</v>
      </c>
      <c r="F56" s="2" t="s">
        <v>31</v>
      </c>
      <c r="G56" s="2" t="s">
        <v>480</v>
      </c>
      <c r="H56" s="2" t="s">
        <v>481</v>
      </c>
      <c r="I56" s="2" t="s">
        <v>34</v>
      </c>
      <c r="J56" s="2" t="s">
        <v>164</v>
      </c>
      <c r="K56" s="2" t="s">
        <v>309</v>
      </c>
      <c r="L56" s="3">
        <v>3</v>
      </c>
      <c r="M56" s="3">
        <v>3</v>
      </c>
      <c r="N56" s="3">
        <v>4</v>
      </c>
      <c r="O56" s="3">
        <v>2</v>
      </c>
      <c r="P56" s="3">
        <f>SUM(L56:O56)</f>
        <v>12</v>
      </c>
      <c r="Q56" s="3" t="str">
        <f>IF(P56&gt;=17,"Tier 1",IF(P56&gt;=14,"Tier 2",IF(P56&gt;=11,"Tier 3","Tier 4")))</f>
        <v>Tier 3</v>
      </c>
      <c r="R56" s="2" t="s">
        <v>482</v>
      </c>
      <c r="S56" s="2" t="s">
        <v>477</v>
      </c>
      <c r="T56" s="2" t="s">
        <v>255</v>
      </c>
      <c r="U56" s="2" t="s">
        <v>39</v>
      </c>
      <c r="V56" s="2" t="s">
        <v>64</v>
      </c>
      <c r="W56" s="2"/>
      <c r="X56" s="2" t="s">
        <v>114</v>
      </c>
      <c r="Y56" s="2" t="s">
        <v>573</v>
      </c>
      <c r="Z56" s="2" t="s">
        <v>39</v>
      </c>
    </row>
    <row r="57" spans="1:26" ht="30">
      <c r="A57" s="2" t="s">
        <v>485</v>
      </c>
      <c r="B57" s="2" t="s">
        <v>476</v>
      </c>
      <c r="C57" s="2" t="s">
        <v>486</v>
      </c>
      <c r="D57" s="2" t="s">
        <v>487</v>
      </c>
      <c r="E57" s="2" t="s">
        <v>488</v>
      </c>
      <c r="F57" s="2" t="s">
        <v>31</v>
      </c>
      <c r="G57" s="2" t="s">
        <v>489</v>
      </c>
      <c r="H57" s="2" t="s">
        <v>481</v>
      </c>
      <c r="I57" s="2" t="s">
        <v>34</v>
      </c>
      <c r="J57" s="2" t="s">
        <v>164</v>
      </c>
      <c r="K57" s="2" t="s">
        <v>309</v>
      </c>
      <c r="L57" s="3">
        <v>3</v>
      </c>
      <c r="M57" s="3">
        <v>3</v>
      </c>
      <c r="N57" s="3">
        <v>4</v>
      </c>
      <c r="O57" s="3">
        <v>2</v>
      </c>
      <c r="P57" s="3">
        <f>SUM(L57:O57)</f>
        <v>12</v>
      </c>
      <c r="Q57" s="3" t="str">
        <f>IF(P57&gt;=17,"Tier 1",IF(P57&gt;=14,"Tier 2",IF(P57&gt;=11,"Tier 3","Tier 4")))</f>
        <v>Tier 3</v>
      </c>
      <c r="R57" s="2" t="s">
        <v>490</v>
      </c>
      <c r="S57" s="2" t="s">
        <v>486</v>
      </c>
      <c r="T57" s="2" t="s">
        <v>255</v>
      </c>
      <c r="U57" s="2" t="s">
        <v>39</v>
      </c>
      <c r="V57" s="2" t="s">
        <v>64</v>
      </c>
      <c r="W57" s="2"/>
      <c r="X57" s="2" t="s">
        <v>588</v>
      </c>
      <c r="Y57" s="2" t="s">
        <v>582</v>
      </c>
      <c r="Z57" s="2" t="s">
        <v>39</v>
      </c>
    </row>
    <row r="58" spans="1:26" ht="31">
      <c r="A58" s="2" t="s">
        <v>657</v>
      </c>
      <c r="B58" s="2" t="s">
        <v>658</v>
      </c>
      <c r="C58" s="2" t="s">
        <v>109</v>
      </c>
      <c r="D58" s="2" t="s">
        <v>659</v>
      </c>
      <c r="E58" s="2" t="s">
        <v>660</v>
      </c>
      <c r="F58" s="2" t="s">
        <v>31</v>
      </c>
      <c r="G58" s="2" t="s">
        <v>661</v>
      </c>
      <c r="H58" s="2" t="s">
        <v>662</v>
      </c>
      <c r="I58" s="2" t="s">
        <v>72</v>
      </c>
      <c r="J58" s="2" t="s">
        <v>152</v>
      </c>
      <c r="K58" s="2" t="s">
        <v>196</v>
      </c>
      <c r="L58" s="3">
        <v>3</v>
      </c>
      <c r="M58" s="3">
        <v>4</v>
      </c>
      <c r="N58" s="3">
        <v>4</v>
      </c>
      <c r="O58" s="3">
        <v>3</v>
      </c>
      <c r="P58" s="3">
        <f>SUM(L58:O58)</f>
        <v>14</v>
      </c>
      <c r="Q58" s="3" t="str">
        <f>IF(P58&gt;=17,"Tier 1",IF(P58&gt;=14,"Tier 2",IF(P58&gt;=11,"Tier 3","Tier 4")))</f>
        <v>Tier 2</v>
      </c>
      <c r="R58" s="2" t="s">
        <v>663</v>
      </c>
      <c r="S58" s="2" t="s">
        <v>109</v>
      </c>
      <c r="T58" s="2" t="s">
        <v>664</v>
      </c>
      <c r="U58" s="2" t="s">
        <v>39</v>
      </c>
      <c r="V58" s="2" t="s">
        <v>40</v>
      </c>
      <c r="W58" s="2" t="s">
        <v>598</v>
      </c>
      <c r="X58" s="2" t="s">
        <v>599</v>
      </c>
      <c r="Y58" s="2" t="s">
        <v>600</v>
      </c>
      <c r="Z58" s="2" t="s">
        <v>39</v>
      </c>
    </row>
    <row r="59" spans="1:26" ht="30">
      <c r="A59" s="2" t="s">
        <v>125</v>
      </c>
      <c r="B59" s="2" t="s">
        <v>126</v>
      </c>
      <c r="C59" s="2" t="s">
        <v>127</v>
      </c>
      <c r="D59" s="2" t="s">
        <v>128</v>
      </c>
      <c r="E59" s="2" t="s">
        <v>129</v>
      </c>
      <c r="F59" s="2" t="s">
        <v>31</v>
      </c>
      <c r="G59" s="2" t="s">
        <v>130</v>
      </c>
      <c r="H59" s="2" t="s">
        <v>131</v>
      </c>
      <c r="I59" s="2" t="s">
        <v>72</v>
      </c>
      <c r="J59" s="2" t="s">
        <v>35</v>
      </c>
      <c r="K59" s="2" t="s">
        <v>132</v>
      </c>
      <c r="L59" s="3">
        <v>4</v>
      </c>
      <c r="M59" s="3">
        <v>4</v>
      </c>
      <c r="N59" s="3">
        <v>4</v>
      </c>
      <c r="O59" s="3">
        <v>4</v>
      </c>
      <c r="P59" s="3">
        <f>SUM(L59:O59)</f>
        <v>16</v>
      </c>
      <c r="Q59" s="3" t="str">
        <f>IF(P59&gt;=17,"Tier 1",IF(P59&gt;=14,"Tier 2",IF(P59&gt;=11,"Tier 3","Tier 4")))</f>
        <v>Tier 2</v>
      </c>
      <c r="R59" s="2" t="s">
        <v>133</v>
      </c>
      <c r="S59" s="2" t="s">
        <v>127</v>
      </c>
      <c r="T59" s="2" t="s">
        <v>134</v>
      </c>
      <c r="U59" s="2" t="s">
        <v>39</v>
      </c>
      <c r="V59" s="2" t="s">
        <v>64</v>
      </c>
      <c r="W59" s="2"/>
      <c r="X59" s="2" t="s">
        <v>114</v>
      </c>
      <c r="Y59" s="2" t="s">
        <v>603</v>
      </c>
      <c r="Z59" s="2" t="s">
        <v>39</v>
      </c>
    </row>
    <row r="60" spans="1:26" ht="30">
      <c r="A60" s="2" t="s">
        <v>622</v>
      </c>
      <c r="B60" s="2" t="s">
        <v>623</v>
      </c>
      <c r="C60" s="2" t="s">
        <v>624</v>
      </c>
      <c r="D60" s="2" t="s">
        <v>625</v>
      </c>
      <c r="E60" s="2" t="s">
        <v>626</v>
      </c>
      <c r="F60" s="2" t="s">
        <v>31</v>
      </c>
      <c r="G60" s="2" t="s">
        <v>627</v>
      </c>
      <c r="H60" s="2" t="s">
        <v>628</v>
      </c>
      <c r="I60" s="2" t="s">
        <v>72</v>
      </c>
      <c r="J60" s="2" t="s">
        <v>35</v>
      </c>
      <c r="K60" s="2" t="s">
        <v>629</v>
      </c>
      <c r="L60" s="3">
        <v>2</v>
      </c>
      <c r="M60" s="3">
        <v>5</v>
      </c>
      <c r="N60" s="3">
        <v>5</v>
      </c>
      <c r="O60" s="3">
        <v>2</v>
      </c>
      <c r="P60" s="3">
        <f>SUM(L60:O60)</f>
        <v>14</v>
      </c>
      <c r="Q60" s="3" t="str">
        <f>IF(P60&gt;=17,"Tier 1",IF(P60&gt;=14,"Tier 2",IF(P60&gt;=11,"Tier 3","Tier 4")))</f>
        <v>Tier 2</v>
      </c>
      <c r="R60" s="2" t="s">
        <v>630</v>
      </c>
      <c r="S60" s="2" t="s">
        <v>624</v>
      </c>
      <c r="T60" s="2" t="s">
        <v>255</v>
      </c>
      <c r="U60" s="2" t="s">
        <v>39</v>
      </c>
      <c r="V60" s="2" t="s">
        <v>64</v>
      </c>
      <c r="W60" s="2"/>
      <c r="X60" s="2" t="s">
        <v>620</v>
      </c>
      <c r="Y60" s="2" t="s">
        <v>621</v>
      </c>
      <c r="Z60" s="2" t="s">
        <v>39</v>
      </c>
    </row>
    <row r="61" spans="1:26" ht="45">
      <c r="A61" s="2" t="s">
        <v>332</v>
      </c>
      <c r="B61" s="2" t="s">
        <v>333</v>
      </c>
      <c r="C61" s="2" t="s">
        <v>334</v>
      </c>
      <c r="D61" s="2" t="s">
        <v>335</v>
      </c>
      <c r="E61" s="2" t="s">
        <v>336</v>
      </c>
      <c r="F61" s="2" t="s">
        <v>337</v>
      </c>
      <c r="G61" s="2" t="s">
        <v>338</v>
      </c>
      <c r="H61" s="2" t="s">
        <v>339</v>
      </c>
      <c r="I61" s="2" t="s">
        <v>235</v>
      </c>
      <c r="J61" s="2" t="s">
        <v>152</v>
      </c>
      <c r="K61" s="2" t="s">
        <v>196</v>
      </c>
      <c r="L61" s="3">
        <v>2</v>
      </c>
      <c r="M61" s="3">
        <v>4</v>
      </c>
      <c r="N61" s="3">
        <v>4</v>
      </c>
      <c r="O61" s="3">
        <v>2</v>
      </c>
      <c r="P61" s="3">
        <f>SUM(L61:O61)</f>
        <v>12</v>
      </c>
      <c r="Q61" s="3" t="str">
        <f>IF(P61&gt;=17,"Tier 1",IF(P61&gt;=14,"Tier 2",IF(P61&gt;=11,"Tier 3","Tier 4")))</f>
        <v>Tier 3</v>
      </c>
      <c r="R61" s="2" t="s">
        <v>340</v>
      </c>
      <c r="S61" s="2" t="s">
        <v>334</v>
      </c>
      <c r="T61" s="2" t="s">
        <v>341</v>
      </c>
      <c r="U61" s="2" t="s">
        <v>39</v>
      </c>
      <c r="V61" s="2" t="s">
        <v>64</v>
      </c>
      <c r="W61" s="2"/>
      <c r="X61" s="2" t="s">
        <v>114</v>
      </c>
      <c r="Y61" s="2" t="s">
        <v>624</v>
      </c>
      <c r="Z61" s="2" t="s">
        <v>39</v>
      </c>
    </row>
    <row r="62" spans="1:26" ht="30">
      <c r="A62" s="2" t="s">
        <v>55</v>
      </c>
      <c r="B62" s="2" t="s">
        <v>56</v>
      </c>
      <c r="C62" s="2" t="s">
        <v>57</v>
      </c>
      <c r="D62" s="2" t="s">
        <v>58</v>
      </c>
      <c r="E62" s="2" t="s">
        <v>59</v>
      </c>
      <c r="F62" s="2" t="s">
        <v>31</v>
      </c>
      <c r="G62" s="2" t="s">
        <v>60</v>
      </c>
      <c r="H62" s="2" t="s">
        <v>61</v>
      </c>
      <c r="I62" s="2" t="s">
        <v>62</v>
      </c>
      <c r="J62" s="2" t="s">
        <v>35</v>
      </c>
      <c r="K62" s="2" t="s">
        <v>50</v>
      </c>
      <c r="L62" s="3">
        <v>4</v>
      </c>
      <c r="M62" s="3">
        <v>5</v>
      </c>
      <c r="N62" s="3">
        <v>5</v>
      </c>
      <c r="O62" s="3">
        <v>3</v>
      </c>
      <c r="P62" s="3">
        <f>SUM(L62:O62)</f>
        <v>17</v>
      </c>
      <c r="Q62" s="3" t="str">
        <f>IF(P62&gt;=17,"Tier 1",IF(P62&gt;=14,"Tier 2",IF(P62&gt;=11,"Tier 3","Tier 4")))</f>
        <v>Tier 1</v>
      </c>
      <c r="R62" s="2" t="s">
        <v>63</v>
      </c>
      <c r="S62" s="2" t="s">
        <v>57</v>
      </c>
      <c r="T62" s="2" t="s">
        <v>38</v>
      </c>
      <c r="U62" s="2" t="s">
        <v>39</v>
      </c>
      <c r="V62" s="2" t="s">
        <v>64</v>
      </c>
      <c r="W62" s="2"/>
      <c r="X62" s="2" t="s">
        <v>639</v>
      </c>
      <c r="Y62" s="2" t="s">
        <v>227</v>
      </c>
      <c r="Z62" s="2" t="s">
        <v>39</v>
      </c>
    </row>
    <row r="63" spans="1:26" ht="31">
      <c r="A63" s="2" t="s">
        <v>303</v>
      </c>
      <c r="B63" s="2" t="s">
        <v>304</v>
      </c>
      <c r="C63" s="2" t="s">
        <v>305</v>
      </c>
      <c r="D63" s="2" t="s">
        <v>58</v>
      </c>
      <c r="E63" s="2" t="s">
        <v>306</v>
      </c>
      <c r="F63" s="2" t="s">
        <v>31</v>
      </c>
      <c r="G63" s="2" t="s">
        <v>307</v>
      </c>
      <c r="H63" s="2" t="s">
        <v>308</v>
      </c>
      <c r="I63" s="2" t="s">
        <v>34</v>
      </c>
      <c r="J63" s="2" t="s">
        <v>35</v>
      </c>
      <c r="K63" s="2" t="s">
        <v>309</v>
      </c>
      <c r="L63" s="3">
        <v>4</v>
      </c>
      <c r="M63" s="3">
        <v>4</v>
      </c>
      <c r="N63" s="3">
        <v>5</v>
      </c>
      <c r="O63" s="3">
        <v>3</v>
      </c>
      <c r="P63" s="3">
        <f>SUM(L63:O63)</f>
        <v>16</v>
      </c>
      <c r="Q63" s="3" t="str">
        <f>IF(P63&gt;=17,"Tier 1",IF(P63&gt;=14,"Tier 2",IF(P63&gt;=11,"Tier 3","Tier 4")))</f>
        <v>Tier 2</v>
      </c>
      <c r="R63" s="2" t="s">
        <v>310</v>
      </c>
      <c r="S63" s="2" t="s">
        <v>305</v>
      </c>
      <c r="T63" s="2" t="s">
        <v>38</v>
      </c>
      <c r="U63" s="2" t="s">
        <v>39</v>
      </c>
      <c r="V63" s="2" t="s">
        <v>40</v>
      </c>
      <c r="W63" s="2" t="s">
        <v>647</v>
      </c>
      <c r="X63" s="2" t="s">
        <v>648</v>
      </c>
      <c r="Y63" s="2" t="s">
        <v>649</v>
      </c>
      <c r="Z63" s="2" t="s">
        <v>39</v>
      </c>
    </row>
    <row r="64" spans="1:26" ht="45">
      <c r="A64" s="2" t="s">
        <v>610</v>
      </c>
      <c r="B64" s="2" t="s">
        <v>611</v>
      </c>
      <c r="C64" s="2" t="s">
        <v>612</v>
      </c>
      <c r="D64" s="2" t="s">
        <v>613</v>
      </c>
      <c r="E64" s="2" t="s">
        <v>614</v>
      </c>
      <c r="F64" s="2" t="s">
        <v>31</v>
      </c>
      <c r="G64" s="2" t="s">
        <v>615</v>
      </c>
      <c r="H64" s="2" t="s">
        <v>616</v>
      </c>
      <c r="I64" s="2" t="s">
        <v>617</v>
      </c>
      <c r="J64" s="2" t="s">
        <v>35</v>
      </c>
      <c r="K64" s="2" t="s">
        <v>618</v>
      </c>
      <c r="L64" s="3">
        <v>2</v>
      </c>
      <c r="M64" s="3">
        <v>5</v>
      </c>
      <c r="N64" s="3">
        <v>5</v>
      </c>
      <c r="O64" s="3">
        <v>1</v>
      </c>
      <c r="P64" s="3">
        <f>SUM(L64:O64)</f>
        <v>13</v>
      </c>
      <c r="Q64" s="3" t="str">
        <f>IF(P64&gt;=17,"Tier 1",IF(P64&gt;=14,"Tier 2",IF(P64&gt;=11,"Tier 3","Tier 4")))</f>
        <v>Tier 3</v>
      </c>
      <c r="R64" s="2" t="s">
        <v>619</v>
      </c>
      <c r="S64" s="2" t="s">
        <v>612</v>
      </c>
      <c r="T64" s="2" t="s">
        <v>255</v>
      </c>
      <c r="U64" s="2" t="s">
        <v>39</v>
      </c>
      <c r="V64" s="2" t="s">
        <v>64</v>
      </c>
      <c r="W64" s="2"/>
      <c r="X64" s="2" t="s">
        <v>656</v>
      </c>
      <c r="Y64" s="2" t="s">
        <v>652</v>
      </c>
      <c r="Z64" s="2" t="s">
        <v>39</v>
      </c>
    </row>
    <row r="65" spans="1:26" ht="30">
      <c r="A65" s="2" t="s">
        <v>342</v>
      </c>
      <c r="B65" s="2" t="s">
        <v>343</v>
      </c>
      <c r="C65" s="2" t="s">
        <v>344</v>
      </c>
      <c r="D65" s="2" t="s">
        <v>345</v>
      </c>
      <c r="E65" s="2" t="s">
        <v>346</v>
      </c>
      <c r="F65" s="2" t="s">
        <v>31</v>
      </c>
      <c r="G65" s="2" t="s">
        <v>347</v>
      </c>
      <c r="H65" s="2" t="s">
        <v>348</v>
      </c>
      <c r="I65" s="2" t="s">
        <v>72</v>
      </c>
      <c r="J65" s="2" t="s">
        <v>35</v>
      </c>
      <c r="K65" s="2" t="s">
        <v>349</v>
      </c>
      <c r="L65" s="3">
        <v>4</v>
      </c>
      <c r="M65" s="3">
        <v>4</v>
      </c>
      <c r="N65" s="3">
        <v>4</v>
      </c>
      <c r="O65" s="3">
        <v>3</v>
      </c>
      <c r="P65" s="3">
        <f>SUM(L65:O65)</f>
        <v>15</v>
      </c>
      <c r="Q65" s="3" t="str">
        <f>IF(P65&gt;=17,"Tier 1",IF(P65&gt;=14,"Tier 2",IF(P65&gt;=11,"Tier 3","Tier 4")))</f>
        <v>Tier 2</v>
      </c>
      <c r="R65" s="2" t="s">
        <v>350</v>
      </c>
      <c r="S65" s="2" t="s">
        <v>344</v>
      </c>
      <c r="T65" s="2" t="s">
        <v>255</v>
      </c>
      <c r="U65" s="2" t="s">
        <v>39</v>
      </c>
      <c r="V65" s="2" t="s">
        <v>266</v>
      </c>
      <c r="W65" s="2"/>
      <c r="X65" s="2" t="s">
        <v>665</v>
      </c>
      <c r="Y65" s="2" t="s">
        <v>109</v>
      </c>
      <c r="Z65" s="2" t="s">
        <v>39</v>
      </c>
    </row>
    <row r="66" spans="1:26" ht="30">
      <c r="A66" s="2" t="s">
        <v>601</v>
      </c>
      <c r="B66" s="2" t="s">
        <v>602</v>
      </c>
      <c r="C66" s="2" t="s">
        <v>603</v>
      </c>
      <c r="D66" s="2" t="s">
        <v>604</v>
      </c>
      <c r="E66" s="2" t="s">
        <v>605</v>
      </c>
      <c r="F66" s="2" t="s">
        <v>31</v>
      </c>
      <c r="G66" s="2" t="s">
        <v>606</v>
      </c>
      <c r="H66" s="2" t="s">
        <v>607</v>
      </c>
      <c r="I66" s="2" t="s">
        <v>163</v>
      </c>
      <c r="J66" s="2" t="s">
        <v>152</v>
      </c>
      <c r="K66" s="2" t="s">
        <v>608</v>
      </c>
      <c r="L66" s="3">
        <v>3</v>
      </c>
      <c r="M66" s="3">
        <v>4</v>
      </c>
      <c r="N66" s="3">
        <v>4</v>
      </c>
      <c r="O66" s="3">
        <v>3</v>
      </c>
      <c r="P66" s="3">
        <f>SUM(L66:O66)</f>
        <v>14</v>
      </c>
      <c r="Q66" s="3" t="str">
        <f>IF(P66&gt;=17,"Tier 1",IF(P66&gt;=14,"Tier 2",IF(P66&gt;=11,"Tier 3","Tier 4")))</f>
        <v>Tier 2</v>
      </c>
      <c r="R66" s="2" t="s">
        <v>609</v>
      </c>
      <c r="S66" s="2" t="s">
        <v>603</v>
      </c>
      <c r="T66" s="2" t="s">
        <v>255</v>
      </c>
      <c r="U66" s="2" t="s">
        <v>39</v>
      </c>
      <c r="V66" s="2" t="s">
        <v>64</v>
      </c>
      <c r="W66" s="2"/>
      <c r="X66" s="2" t="s">
        <v>114</v>
      </c>
      <c r="Y66" s="2" t="s">
        <v>667</v>
      </c>
      <c r="Z66" s="2" t="s">
        <v>39</v>
      </c>
    </row>
    <row r="67" spans="1:26" ht="46">
      <c r="A67" s="2" t="s">
        <v>631</v>
      </c>
      <c r="B67" s="2" t="s">
        <v>632</v>
      </c>
      <c r="C67" s="2" t="s">
        <v>220</v>
      </c>
      <c r="D67" s="2" t="s">
        <v>633</v>
      </c>
      <c r="E67" s="2" t="s">
        <v>634</v>
      </c>
      <c r="F67" s="2" t="s">
        <v>31</v>
      </c>
      <c r="G67" s="2" t="s">
        <v>635</v>
      </c>
      <c r="H67" s="2" t="s">
        <v>636</v>
      </c>
      <c r="I67" s="2" t="s">
        <v>62</v>
      </c>
      <c r="J67" s="2" t="s">
        <v>35</v>
      </c>
      <c r="K67" s="2" t="s">
        <v>637</v>
      </c>
      <c r="L67" s="3">
        <v>2</v>
      </c>
      <c r="M67" s="3">
        <v>5</v>
      </c>
      <c r="N67" s="3">
        <v>5</v>
      </c>
      <c r="O67" s="3">
        <v>2</v>
      </c>
      <c r="P67" s="3">
        <f>SUM(L67:O67)</f>
        <v>14</v>
      </c>
      <c r="Q67" s="3" t="str">
        <f>IF(P67&gt;=17,"Tier 1",IF(P67&gt;=14,"Tier 2",IF(P67&gt;=11,"Tier 3","Tier 4")))</f>
        <v>Tier 2</v>
      </c>
      <c r="R67" s="2" t="s">
        <v>638</v>
      </c>
      <c r="S67" s="2" t="s">
        <v>220</v>
      </c>
      <c r="T67" s="2" t="s">
        <v>580</v>
      </c>
      <c r="U67" s="2" t="s">
        <v>39</v>
      </c>
      <c r="V67" s="2" t="s">
        <v>40</v>
      </c>
      <c r="W67" s="2" t="s">
        <v>685</v>
      </c>
      <c r="X67" s="2" t="s">
        <v>686</v>
      </c>
      <c r="Y67" s="2" t="s">
        <v>687</v>
      </c>
      <c r="Z67" s="2" t="s">
        <v>39</v>
      </c>
    </row>
    <row r="68" spans="1:26" ht="31">
      <c r="A68" s="2" t="s">
        <v>589</v>
      </c>
      <c r="B68" s="2" t="s">
        <v>590</v>
      </c>
      <c r="C68" s="2" t="s">
        <v>591</v>
      </c>
      <c r="D68" s="2" t="s">
        <v>592</v>
      </c>
      <c r="E68" s="2" t="s">
        <v>593</v>
      </c>
      <c r="F68" s="2" t="s">
        <v>31</v>
      </c>
      <c r="G68" s="2" t="s">
        <v>594</v>
      </c>
      <c r="H68" s="2" t="s">
        <v>595</v>
      </c>
      <c r="I68" s="2" t="s">
        <v>72</v>
      </c>
      <c r="J68" s="2" t="s">
        <v>35</v>
      </c>
      <c r="K68" s="2" t="s">
        <v>596</v>
      </c>
      <c r="L68" s="3">
        <v>5</v>
      </c>
      <c r="M68" s="3">
        <v>4</v>
      </c>
      <c r="N68" s="3">
        <v>4</v>
      </c>
      <c r="O68" s="3">
        <v>5</v>
      </c>
      <c r="P68" s="3">
        <f>SUM(L68:O68)</f>
        <v>18</v>
      </c>
      <c r="Q68" s="3" t="str">
        <f>IF(P68&gt;=17,"Tier 1",IF(P68&gt;=14,"Tier 2",IF(P68&gt;=11,"Tier 3","Tier 4")))</f>
        <v>Tier 1</v>
      </c>
      <c r="R68" s="2" t="s">
        <v>597</v>
      </c>
      <c r="S68" s="2" t="s">
        <v>591</v>
      </c>
      <c r="T68" s="2" t="s">
        <v>255</v>
      </c>
      <c r="U68" s="2" t="s">
        <v>39</v>
      </c>
      <c r="V68" s="2" t="s">
        <v>40</v>
      </c>
      <c r="W68" s="2" t="s">
        <v>695</v>
      </c>
      <c r="X68" s="2" t="s">
        <v>696</v>
      </c>
      <c r="Y68" s="2" t="s">
        <v>687</v>
      </c>
      <c r="Z68" s="2" t="s">
        <v>39</v>
      </c>
    </row>
    <row r="69" spans="1:26" ht="30">
      <c r="A69" s="2" t="s">
        <v>26</v>
      </c>
      <c r="B69" s="2" t="s">
        <v>27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32</v>
      </c>
      <c r="H69" s="2" t="s">
        <v>33</v>
      </c>
      <c r="I69" s="2" t="s">
        <v>34</v>
      </c>
      <c r="J69" s="2" t="s">
        <v>35</v>
      </c>
      <c r="K69" s="2" t="s">
        <v>36</v>
      </c>
      <c r="L69" s="3">
        <v>4</v>
      </c>
      <c r="M69" s="3">
        <v>5</v>
      </c>
      <c r="N69" s="3">
        <v>5</v>
      </c>
      <c r="O69" s="3">
        <v>3</v>
      </c>
      <c r="P69" s="3">
        <f>SUM(L69:O69)</f>
        <v>17</v>
      </c>
      <c r="Q69" s="3" t="str">
        <f>IF(P69&gt;=17,"Tier 1",IF(P69&gt;=14,"Tier 2",IF(P69&gt;=11,"Tier 3","Tier 4")))</f>
        <v>Tier 1</v>
      </c>
      <c r="R69" s="2" t="s">
        <v>37</v>
      </c>
      <c r="S69" s="2" t="s">
        <v>28</v>
      </c>
      <c r="T69" s="2" t="s">
        <v>38</v>
      </c>
      <c r="U69" s="2" t="s">
        <v>39</v>
      </c>
      <c r="V69" s="2" t="s">
        <v>64</v>
      </c>
      <c r="W69" s="2"/>
      <c r="X69" s="2" t="s">
        <v>114</v>
      </c>
      <c r="Y69" s="2" t="s">
        <v>699</v>
      </c>
      <c r="Z69" s="2" t="s">
        <v>39</v>
      </c>
    </row>
    <row r="70" spans="1:26" ht="31">
      <c r="A70" s="2" t="s">
        <v>44</v>
      </c>
      <c r="B70" s="2" t="s">
        <v>45</v>
      </c>
      <c r="C70" s="2" t="s">
        <v>46</v>
      </c>
      <c r="D70" s="2" t="s">
        <v>29</v>
      </c>
      <c r="E70" s="2" t="s">
        <v>47</v>
      </c>
      <c r="F70" s="2" t="s">
        <v>31</v>
      </c>
      <c r="G70" s="2" t="s">
        <v>48</v>
      </c>
      <c r="H70" s="2" t="s">
        <v>49</v>
      </c>
      <c r="I70" s="2" t="s">
        <v>34</v>
      </c>
      <c r="J70" s="2" t="s">
        <v>35</v>
      </c>
      <c r="K70" s="2" t="s">
        <v>50</v>
      </c>
      <c r="L70" s="3">
        <v>4</v>
      </c>
      <c r="M70" s="3">
        <v>5</v>
      </c>
      <c r="N70" s="3">
        <v>5</v>
      </c>
      <c r="O70" s="3">
        <v>3</v>
      </c>
      <c r="P70" s="3">
        <f>SUM(L70:O70)</f>
        <v>17</v>
      </c>
      <c r="Q70" s="3" t="str">
        <f>IF(P70&gt;=17,"Tier 1",IF(P70&gt;=14,"Tier 2",IF(P70&gt;=11,"Tier 3","Tier 4")))</f>
        <v>Tier 1</v>
      </c>
      <c r="R70" s="2" t="s">
        <v>51</v>
      </c>
      <c r="S70" s="2" t="s">
        <v>46</v>
      </c>
      <c r="T70" s="2" t="s">
        <v>52</v>
      </c>
      <c r="U70" s="2" t="s">
        <v>39</v>
      </c>
      <c r="V70" s="2" t="s">
        <v>40</v>
      </c>
      <c r="W70" s="2" t="s">
        <v>712</v>
      </c>
      <c r="X70" s="2" t="s">
        <v>713</v>
      </c>
      <c r="Y70" s="2" t="s">
        <v>714</v>
      </c>
      <c r="Z70" s="2" t="s">
        <v>39</v>
      </c>
    </row>
    <row r="71" spans="1:26" ht="31">
      <c r="A71" s="2" t="s">
        <v>67</v>
      </c>
      <c r="B71" s="2" t="s">
        <v>67</v>
      </c>
      <c r="C71" s="2" t="s">
        <v>68</v>
      </c>
      <c r="D71" s="2" t="s">
        <v>29</v>
      </c>
      <c r="E71" s="2" t="s">
        <v>69</v>
      </c>
      <c r="F71" s="2" t="s">
        <v>31</v>
      </c>
      <c r="G71" s="2" t="s">
        <v>70</v>
      </c>
      <c r="H71" s="2" t="s">
        <v>71</v>
      </c>
      <c r="I71" s="2" t="s">
        <v>72</v>
      </c>
      <c r="J71" s="2" t="s">
        <v>35</v>
      </c>
      <c r="K71" s="2" t="s">
        <v>73</v>
      </c>
      <c r="L71" s="3">
        <v>4</v>
      </c>
      <c r="M71" s="3">
        <v>5</v>
      </c>
      <c r="N71" s="3">
        <v>4</v>
      </c>
      <c r="O71" s="3">
        <v>4</v>
      </c>
      <c r="P71" s="3">
        <f>SUM(L71:O71)</f>
        <v>17</v>
      </c>
      <c r="Q71" s="3" t="str">
        <f>IF(P71&gt;=17,"Tier 1",IF(P71&gt;=14,"Tier 2",IF(P71&gt;=11,"Tier 3","Tier 4")))</f>
        <v>Tier 1</v>
      </c>
      <c r="R71" s="2" t="s">
        <v>74</v>
      </c>
      <c r="S71" s="2" t="s">
        <v>68</v>
      </c>
      <c r="T71" s="2" t="s">
        <v>38</v>
      </c>
      <c r="U71" s="2" t="s">
        <v>39</v>
      </c>
      <c r="V71" s="2" t="s">
        <v>40</v>
      </c>
      <c r="W71" s="2" t="s">
        <v>53</v>
      </c>
      <c r="X71" s="2" t="s">
        <v>724</v>
      </c>
      <c r="Y71" s="2" t="s">
        <v>714</v>
      </c>
      <c r="Z71" s="2" t="s">
        <v>39</v>
      </c>
    </row>
    <row r="72" spans="1:26" ht="31">
      <c r="A72" s="2" t="s">
        <v>115</v>
      </c>
      <c r="B72" s="2" t="s">
        <v>27</v>
      </c>
      <c r="C72" s="2" t="s">
        <v>116</v>
      </c>
      <c r="D72" s="2" t="s">
        <v>117</v>
      </c>
      <c r="E72" s="2" t="s">
        <v>118</v>
      </c>
      <c r="F72" s="2" t="s">
        <v>31</v>
      </c>
      <c r="G72" s="2" t="s">
        <v>119</v>
      </c>
      <c r="H72" s="2" t="s">
        <v>120</v>
      </c>
      <c r="I72" s="2" t="s">
        <v>62</v>
      </c>
      <c r="J72" s="2" t="s">
        <v>35</v>
      </c>
      <c r="K72" s="2" t="s">
        <v>36</v>
      </c>
      <c r="L72" s="3">
        <v>4</v>
      </c>
      <c r="M72" s="3">
        <v>5</v>
      </c>
      <c r="N72" s="3">
        <v>5</v>
      </c>
      <c r="O72" s="3">
        <v>3</v>
      </c>
      <c r="P72" s="3">
        <f>SUM(L72:O72)</f>
        <v>17</v>
      </c>
      <c r="Q72" s="3" t="str">
        <f>IF(P72&gt;=17,"Tier 1",IF(P72&gt;=14,"Tier 2",IF(P72&gt;=11,"Tier 3","Tier 4")))</f>
        <v>Tier 1</v>
      </c>
      <c r="R72" s="2" t="s">
        <v>121</v>
      </c>
      <c r="S72" s="2" t="s">
        <v>116</v>
      </c>
      <c r="T72" s="2" t="s">
        <v>38</v>
      </c>
      <c r="U72" s="2" t="s">
        <v>39</v>
      </c>
      <c r="V72" s="2" t="s">
        <v>40</v>
      </c>
      <c r="W72" s="2" t="s">
        <v>732</v>
      </c>
      <c r="X72" s="2" t="s">
        <v>733</v>
      </c>
      <c r="Y72" s="2" t="s">
        <v>734</v>
      </c>
      <c r="Z72" s="2" t="s">
        <v>39</v>
      </c>
    </row>
    <row r="73" spans="1:26" ht="30">
      <c r="A73" s="2" t="s">
        <v>741</v>
      </c>
      <c r="B73" s="2" t="s">
        <v>742</v>
      </c>
      <c r="C73" s="2" t="s">
        <v>743</v>
      </c>
      <c r="D73" s="2" t="s">
        <v>744</v>
      </c>
      <c r="E73" s="2" t="s">
        <v>745</v>
      </c>
      <c r="F73" s="2" t="s">
        <v>31</v>
      </c>
      <c r="G73" s="2" t="s">
        <v>746</v>
      </c>
      <c r="H73" s="2" t="s">
        <v>317</v>
      </c>
      <c r="I73" s="2" t="s">
        <v>62</v>
      </c>
      <c r="J73" s="2" t="s">
        <v>164</v>
      </c>
      <c r="K73" s="2" t="s">
        <v>196</v>
      </c>
      <c r="L73" s="3">
        <v>2</v>
      </c>
      <c r="M73" s="3">
        <v>2</v>
      </c>
      <c r="N73" s="3">
        <v>3</v>
      </c>
      <c r="O73" s="3">
        <v>2</v>
      </c>
      <c r="P73" s="3">
        <f>SUM(L73:O73)</f>
        <v>9</v>
      </c>
      <c r="Q73" s="3" t="str">
        <f>IF(P73&gt;=17,"Tier 1",IF(P73&gt;=14,"Tier 2",IF(P73&gt;=11,"Tier 3","Tier 4")))</f>
        <v>Tier 4</v>
      </c>
      <c r="R73" s="2" t="s">
        <v>747</v>
      </c>
      <c r="S73" s="2" t="s">
        <v>743</v>
      </c>
      <c r="T73" s="2" t="s">
        <v>255</v>
      </c>
      <c r="U73" s="2" t="s">
        <v>39</v>
      </c>
      <c r="V73" s="2" t="s">
        <v>64</v>
      </c>
      <c r="W73" s="2"/>
      <c r="X73" s="2" t="s">
        <v>284</v>
      </c>
      <c r="Y73" s="2" t="s">
        <v>737</v>
      </c>
      <c r="Z73" s="2" t="s">
        <v>39</v>
      </c>
    </row>
    <row r="74" spans="1:26" ht="31">
      <c r="A74" s="2" t="s">
        <v>725</v>
      </c>
      <c r="B74" s="2" t="s">
        <v>726</v>
      </c>
      <c r="C74" s="2" t="s">
        <v>727</v>
      </c>
      <c r="D74" s="2" t="s">
        <v>728</v>
      </c>
      <c r="E74" s="2" t="s">
        <v>729</v>
      </c>
      <c r="F74" s="2" t="s">
        <v>31</v>
      </c>
      <c r="G74" s="2" t="s">
        <v>730</v>
      </c>
      <c r="H74" s="2" t="s">
        <v>392</v>
      </c>
      <c r="I74" s="2" t="s">
        <v>34</v>
      </c>
      <c r="J74" s="2" t="s">
        <v>35</v>
      </c>
      <c r="K74" s="2" t="s">
        <v>309</v>
      </c>
      <c r="L74" s="3">
        <v>3</v>
      </c>
      <c r="M74" s="3">
        <v>3</v>
      </c>
      <c r="N74" s="3">
        <v>5</v>
      </c>
      <c r="O74" s="3">
        <v>2</v>
      </c>
      <c r="P74" s="3">
        <f>SUM(L74:O74)</f>
        <v>13</v>
      </c>
      <c r="Q74" s="3" t="str">
        <f>IF(P74&gt;=17,"Tier 1",IF(P74&gt;=14,"Tier 2",IF(P74&gt;=11,"Tier 3","Tier 4")))</f>
        <v>Tier 3</v>
      </c>
      <c r="R74" s="2" t="s">
        <v>731</v>
      </c>
      <c r="S74" s="2" t="s">
        <v>727</v>
      </c>
      <c r="T74" s="2" t="s">
        <v>255</v>
      </c>
      <c r="U74" s="2" t="s">
        <v>39</v>
      </c>
      <c r="V74" s="2" t="s">
        <v>40</v>
      </c>
      <c r="W74" s="2" t="s">
        <v>748</v>
      </c>
      <c r="X74" s="2" t="s">
        <v>749</v>
      </c>
      <c r="Y74" s="2" t="s">
        <v>750</v>
      </c>
      <c r="Z74" s="2" t="s">
        <v>39</v>
      </c>
    </row>
    <row r="75" spans="1:26" ht="31">
      <c r="A75" s="2" t="s">
        <v>735</v>
      </c>
      <c r="B75" s="2" t="s">
        <v>736</v>
      </c>
      <c r="C75" s="2" t="s">
        <v>737</v>
      </c>
      <c r="D75" s="2" t="s">
        <v>728</v>
      </c>
      <c r="E75" s="2" t="s">
        <v>738</v>
      </c>
      <c r="F75" s="2" t="s">
        <v>31</v>
      </c>
      <c r="G75" s="2" t="s">
        <v>739</v>
      </c>
      <c r="H75" s="2" t="s">
        <v>131</v>
      </c>
      <c r="I75" s="2" t="s">
        <v>34</v>
      </c>
      <c r="J75" s="2" t="s">
        <v>35</v>
      </c>
      <c r="K75" s="2" t="s">
        <v>309</v>
      </c>
      <c r="L75" s="3">
        <v>3</v>
      </c>
      <c r="M75" s="3">
        <v>3</v>
      </c>
      <c r="N75" s="3">
        <v>5</v>
      </c>
      <c r="O75" s="3">
        <v>2</v>
      </c>
      <c r="P75" s="3">
        <f>SUM(L75:O75)</f>
        <v>13</v>
      </c>
      <c r="Q75" s="3" t="str">
        <f>IF(P75&gt;=17,"Tier 1",IF(P75&gt;=14,"Tier 2",IF(P75&gt;=11,"Tier 3","Tier 4")))</f>
        <v>Tier 3</v>
      </c>
      <c r="R75" s="2" t="s">
        <v>740</v>
      </c>
      <c r="S75" s="2" t="s">
        <v>737</v>
      </c>
      <c r="T75" s="2" t="s">
        <v>255</v>
      </c>
      <c r="U75" s="2" t="s">
        <v>39</v>
      </c>
      <c r="V75" s="2" t="s">
        <v>40</v>
      </c>
      <c r="W75" s="2" t="s">
        <v>53</v>
      </c>
      <c r="X75" s="2" t="s">
        <v>757</v>
      </c>
      <c r="Y75" s="2" t="s">
        <v>758</v>
      </c>
      <c r="Z75" s="2" t="s">
        <v>39</v>
      </c>
    </row>
    <row r="76" spans="1:26" ht="31">
      <c r="A76" s="2" t="s">
        <v>528</v>
      </c>
      <c r="B76" s="2" t="s">
        <v>528</v>
      </c>
      <c r="C76" s="2" t="s">
        <v>529</v>
      </c>
      <c r="D76" s="2" t="s">
        <v>530</v>
      </c>
      <c r="E76" s="2" t="s">
        <v>531</v>
      </c>
      <c r="F76" s="2" t="s">
        <v>31</v>
      </c>
      <c r="G76" s="2" t="s">
        <v>532</v>
      </c>
      <c r="H76" s="2" t="s">
        <v>131</v>
      </c>
      <c r="I76" s="2" t="s">
        <v>72</v>
      </c>
      <c r="J76" s="2" t="s">
        <v>369</v>
      </c>
      <c r="K76" s="2" t="s">
        <v>309</v>
      </c>
      <c r="L76" s="3">
        <v>2</v>
      </c>
      <c r="M76" s="3">
        <v>2</v>
      </c>
      <c r="N76" s="3">
        <v>3</v>
      </c>
      <c r="O76" s="3">
        <v>2</v>
      </c>
      <c r="P76" s="3">
        <f>SUM(L76:O76)</f>
        <v>9</v>
      </c>
      <c r="Q76" s="3" t="str">
        <f>IF(P76&gt;=17,"Tier 1",IF(P76&gt;=14,"Tier 2",IF(P76&gt;=11,"Tier 3","Tier 4")))</f>
        <v>Tier 4</v>
      </c>
      <c r="R76" s="2" t="s">
        <v>533</v>
      </c>
      <c r="S76" s="2" t="s">
        <v>529</v>
      </c>
      <c r="T76" s="2" t="s">
        <v>255</v>
      </c>
      <c r="U76" s="2" t="s">
        <v>39</v>
      </c>
      <c r="V76" s="2" t="s">
        <v>40</v>
      </c>
      <c r="W76" s="2" t="s">
        <v>53</v>
      </c>
      <c r="X76" s="2" t="s">
        <v>765</v>
      </c>
      <c r="Y76" s="2" t="s">
        <v>758</v>
      </c>
      <c r="Z76" s="2" t="s">
        <v>39</v>
      </c>
    </row>
  </sheetData>
  <conditionalFormatting sqref="V2:V76">
    <cfRule type="expression" dxfId="5" priority="2">
      <formula>V2="Yes"</formula>
    </cfRule>
    <cfRule type="expression" dxfId="4" priority="3">
      <formula>V2="Needs recheck"</formula>
    </cfRule>
    <cfRule type="expression" dxfId="3" priority="4">
      <formula>V2="Not located"</formula>
    </cfRule>
  </conditionalFormatting>
  <conditionalFormatting sqref="P2:P76">
    <cfRule type="colorScale" priority="12">
      <colorScale>
        <cfvo type="min"/>
        <cfvo type="percentile" val="50"/>
        <cfvo type="max"/>
        <color rgb="FFFDE9E7"/>
        <color rgb="FFFFF2CC"/>
        <color rgb="FFE2F0D9"/>
      </colorScale>
    </cfRule>
  </conditionalFormatting>
  <dataValidations count="1">
    <dataValidation type="list" sqref="T2:T76" xr:uid="{00000000-0002-0000-0000-000000000000}">
      <formula1>_xlfn._LONGTEXT("Verified current,Candidate - current site,Candidate - verify contact,Candidate - verify current,Candidate - verify current editorial model,Candidate - verify contributor policy,Candidate - verify current branding/contact,Candidate - verify active product,","Candidate - verify publication,Candidate - verify editorial model,Candidate - partner prospect")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workbookViewId="0"/>
  </sheetViews>
  <sheetFormatPr baseColWidth="10" defaultColWidth="8.83203125" defaultRowHeight="14"/>
  <cols>
    <col min="1" max="1" width="7" customWidth="1"/>
    <col min="2" max="2" width="26" customWidth="1"/>
    <col min="3" max="3" width="24" customWidth="1"/>
    <col min="4" max="4" width="36" customWidth="1"/>
    <col min="5" max="5" width="32" customWidth="1"/>
    <col min="6" max="6" width="12" customWidth="1"/>
    <col min="7" max="7" width="10" customWidth="1"/>
    <col min="8" max="9" width="12" customWidth="1"/>
    <col min="10" max="11" width="10" customWidth="1"/>
    <col min="12" max="12" width="50" customWidth="1"/>
    <col min="13" max="13" width="26" customWidth="1"/>
    <col min="14" max="14" width="14" customWidth="1"/>
    <col min="15" max="15" width="38" customWidth="1"/>
    <col min="16" max="16" width="44" customWidth="1"/>
  </cols>
  <sheetData>
    <row r="1" spans="1:16" ht="32">
      <c r="A1" s="1" t="s">
        <v>766</v>
      </c>
      <c r="B1" s="1" t="s">
        <v>0</v>
      </c>
      <c r="C1" s="1" t="s">
        <v>3</v>
      </c>
      <c r="D1" s="1" t="s">
        <v>4</v>
      </c>
      <c r="E1" s="1" t="s">
        <v>2</v>
      </c>
      <c r="F1" s="1" t="s">
        <v>15</v>
      </c>
      <c r="G1" s="1" t="s">
        <v>767</v>
      </c>
      <c r="H1" s="1" t="s">
        <v>768</v>
      </c>
      <c r="I1" s="1" t="s">
        <v>769</v>
      </c>
      <c r="J1" s="1" t="s">
        <v>770</v>
      </c>
      <c r="K1" s="1" t="s">
        <v>771</v>
      </c>
      <c r="L1" s="1" t="s">
        <v>772</v>
      </c>
      <c r="M1" s="1" t="s">
        <v>19</v>
      </c>
      <c r="N1" s="4" t="s">
        <v>21</v>
      </c>
      <c r="O1" s="4" t="s">
        <v>22</v>
      </c>
      <c r="P1" s="4" t="s">
        <v>23</v>
      </c>
    </row>
    <row r="2" spans="1:16" ht="31">
      <c r="A2" s="2">
        <v>1</v>
      </c>
      <c r="B2" s="2" t="s">
        <v>589</v>
      </c>
      <c r="C2" s="2" t="s">
        <v>592</v>
      </c>
      <c r="D2" s="2" t="s">
        <v>593</v>
      </c>
      <c r="E2" s="2" t="s">
        <v>591</v>
      </c>
      <c r="F2" s="2">
        <v>18</v>
      </c>
      <c r="G2" s="2" t="s">
        <v>773</v>
      </c>
      <c r="H2" s="2">
        <v>5</v>
      </c>
      <c r="I2" s="2">
        <v>4</v>
      </c>
      <c r="J2" s="2">
        <v>4</v>
      </c>
      <c r="K2" s="2">
        <v>5</v>
      </c>
      <c r="L2" s="2" t="s">
        <v>597</v>
      </c>
      <c r="M2" s="2" t="s">
        <v>255</v>
      </c>
      <c r="N2" s="2" t="s">
        <v>40</v>
      </c>
      <c r="O2" s="2" t="s">
        <v>598</v>
      </c>
      <c r="P2" s="2" t="s">
        <v>599</v>
      </c>
    </row>
    <row r="3" spans="1:16" ht="31">
      <c r="A3" s="2">
        <v>2</v>
      </c>
      <c r="B3" s="2" t="s">
        <v>26</v>
      </c>
      <c r="C3" s="2" t="s">
        <v>29</v>
      </c>
      <c r="D3" s="2" t="s">
        <v>30</v>
      </c>
      <c r="E3" s="2" t="s">
        <v>28</v>
      </c>
      <c r="F3" s="2">
        <v>17</v>
      </c>
      <c r="G3" s="2" t="s">
        <v>773</v>
      </c>
      <c r="H3" s="2">
        <v>4</v>
      </c>
      <c r="I3" s="2">
        <v>5</v>
      </c>
      <c r="J3" s="2">
        <v>5</v>
      </c>
      <c r="K3" s="2">
        <v>3</v>
      </c>
      <c r="L3" s="2" t="s">
        <v>37</v>
      </c>
      <c r="M3" s="2" t="s">
        <v>38</v>
      </c>
      <c r="N3" s="2" t="s">
        <v>40</v>
      </c>
      <c r="O3" s="2" t="s">
        <v>41</v>
      </c>
      <c r="P3" s="2" t="s">
        <v>42</v>
      </c>
    </row>
    <row r="4" spans="1:16" ht="31">
      <c r="A4" s="2">
        <v>3</v>
      </c>
      <c r="B4" s="2" t="s">
        <v>44</v>
      </c>
      <c r="C4" s="2" t="s">
        <v>29</v>
      </c>
      <c r="D4" s="2" t="s">
        <v>47</v>
      </c>
      <c r="E4" s="2" t="s">
        <v>46</v>
      </c>
      <c r="F4" s="2">
        <v>17</v>
      </c>
      <c r="G4" s="2" t="s">
        <v>773</v>
      </c>
      <c r="H4" s="2">
        <v>4</v>
      </c>
      <c r="I4" s="2">
        <v>5</v>
      </c>
      <c r="J4" s="2">
        <v>5</v>
      </c>
      <c r="K4" s="2">
        <v>3</v>
      </c>
      <c r="L4" s="2" t="s">
        <v>51</v>
      </c>
      <c r="M4" s="2" t="s">
        <v>52</v>
      </c>
      <c r="N4" s="2" t="s">
        <v>40</v>
      </c>
      <c r="O4" s="2" t="s">
        <v>53</v>
      </c>
      <c r="P4" s="2" t="s">
        <v>54</v>
      </c>
    </row>
    <row r="5" spans="1:16" ht="30">
      <c r="A5" s="2">
        <v>4</v>
      </c>
      <c r="B5" s="2" t="s">
        <v>55</v>
      </c>
      <c r="C5" s="2" t="s">
        <v>58</v>
      </c>
      <c r="D5" s="2" t="s">
        <v>59</v>
      </c>
      <c r="E5" s="2" t="s">
        <v>57</v>
      </c>
      <c r="F5" s="2">
        <v>17</v>
      </c>
      <c r="G5" s="2" t="s">
        <v>773</v>
      </c>
      <c r="H5" s="2">
        <v>4</v>
      </c>
      <c r="I5" s="2">
        <v>5</v>
      </c>
      <c r="J5" s="2">
        <v>5</v>
      </c>
      <c r="K5" s="2">
        <v>3</v>
      </c>
      <c r="L5" s="2" t="s">
        <v>63</v>
      </c>
      <c r="M5" s="2" t="s">
        <v>38</v>
      </c>
      <c r="N5" s="2" t="s">
        <v>64</v>
      </c>
      <c r="O5" s="2"/>
      <c r="P5" s="2" t="s">
        <v>65</v>
      </c>
    </row>
    <row r="6" spans="1:16" ht="30">
      <c r="A6" s="2">
        <v>5</v>
      </c>
      <c r="B6" s="2" t="s">
        <v>108</v>
      </c>
      <c r="C6" s="2" t="s">
        <v>99</v>
      </c>
      <c r="D6" s="2" t="s">
        <v>110</v>
      </c>
      <c r="E6" s="2" t="s">
        <v>109</v>
      </c>
      <c r="F6" s="2">
        <v>17</v>
      </c>
      <c r="G6" s="2" t="s">
        <v>773</v>
      </c>
      <c r="H6" s="2">
        <v>4</v>
      </c>
      <c r="I6" s="2">
        <v>5</v>
      </c>
      <c r="J6" s="2">
        <v>5</v>
      </c>
      <c r="K6" s="2">
        <v>3</v>
      </c>
      <c r="L6" s="2" t="s">
        <v>113</v>
      </c>
      <c r="M6" s="2" t="s">
        <v>52</v>
      </c>
      <c r="N6" s="2" t="s">
        <v>64</v>
      </c>
      <c r="O6" s="2"/>
      <c r="P6" s="2" t="s">
        <v>114</v>
      </c>
    </row>
    <row r="7" spans="1:16" ht="31">
      <c r="A7" s="2">
        <v>6</v>
      </c>
      <c r="B7" s="2" t="s">
        <v>115</v>
      </c>
      <c r="C7" s="2" t="s">
        <v>117</v>
      </c>
      <c r="D7" s="2" t="s">
        <v>118</v>
      </c>
      <c r="E7" s="2" t="s">
        <v>116</v>
      </c>
      <c r="F7" s="2">
        <v>17</v>
      </c>
      <c r="G7" s="2" t="s">
        <v>773</v>
      </c>
      <c r="H7" s="2">
        <v>4</v>
      </c>
      <c r="I7" s="2">
        <v>5</v>
      </c>
      <c r="J7" s="2">
        <v>5</v>
      </c>
      <c r="K7" s="2">
        <v>3</v>
      </c>
      <c r="L7" s="2" t="s">
        <v>121</v>
      </c>
      <c r="M7" s="2" t="s">
        <v>38</v>
      </c>
      <c r="N7" s="2" t="s">
        <v>40</v>
      </c>
      <c r="O7" s="2" t="s">
        <v>122</v>
      </c>
      <c r="P7" s="2" t="s">
        <v>123</v>
      </c>
    </row>
    <row r="8" spans="1:16" ht="31">
      <c r="A8" s="2">
        <v>7</v>
      </c>
      <c r="B8" s="2" t="s">
        <v>137</v>
      </c>
      <c r="C8" s="2" t="s">
        <v>139</v>
      </c>
      <c r="D8" s="2" t="s">
        <v>140</v>
      </c>
      <c r="E8" s="2" t="s">
        <v>138</v>
      </c>
      <c r="F8" s="2">
        <v>17</v>
      </c>
      <c r="G8" s="2" t="s">
        <v>773</v>
      </c>
      <c r="H8" s="2">
        <v>4</v>
      </c>
      <c r="I8" s="2">
        <v>5</v>
      </c>
      <c r="J8" s="2">
        <v>5</v>
      </c>
      <c r="K8" s="2">
        <v>3</v>
      </c>
      <c r="L8" s="2" t="s">
        <v>143</v>
      </c>
      <c r="M8" s="2" t="s">
        <v>38</v>
      </c>
      <c r="N8" s="2" t="s">
        <v>40</v>
      </c>
      <c r="O8" s="2" t="s">
        <v>144</v>
      </c>
      <c r="P8" s="2" t="s">
        <v>145</v>
      </c>
    </row>
    <row r="9" spans="1:16" ht="31">
      <c r="A9" s="2">
        <v>8</v>
      </c>
      <c r="B9" s="2" t="s">
        <v>210</v>
      </c>
      <c r="C9" s="2" t="s">
        <v>202</v>
      </c>
      <c r="D9" s="2" t="s">
        <v>212</v>
      </c>
      <c r="E9" s="2" t="s">
        <v>211</v>
      </c>
      <c r="F9" s="2">
        <v>17</v>
      </c>
      <c r="G9" s="2" t="s">
        <v>773</v>
      </c>
      <c r="H9" s="2">
        <v>4</v>
      </c>
      <c r="I9" s="2">
        <v>5</v>
      </c>
      <c r="J9" s="2">
        <v>5</v>
      </c>
      <c r="K9" s="2">
        <v>3</v>
      </c>
      <c r="L9" s="2" t="s">
        <v>216</v>
      </c>
      <c r="M9" s="2" t="s">
        <v>38</v>
      </c>
      <c r="N9" s="2" t="s">
        <v>40</v>
      </c>
      <c r="O9" s="2" t="s">
        <v>208</v>
      </c>
      <c r="P9" s="2" t="s">
        <v>217</v>
      </c>
    </row>
    <row r="10" spans="1:16" ht="30">
      <c r="A10" s="2">
        <v>9</v>
      </c>
      <c r="B10" s="2" t="s">
        <v>581</v>
      </c>
      <c r="C10" s="2" t="s">
        <v>583</v>
      </c>
      <c r="D10" s="2" t="s">
        <v>584</v>
      </c>
      <c r="E10" s="2" t="s">
        <v>582</v>
      </c>
      <c r="F10" s="2">
        <v>17</v>
      </c>
      <c r="G10" s="2" t="s">
        <v>773</v>
      </c>
      <c r="H10" s="2">
        <v>4</v>
      </c>
      <c r="I10" s="2">
        <v>5</v>
      </c>
      <c r="J10" s="2">
        <v>5</v>
      </c>
      <c r="K10" s="2">
        <v>3</v>
      </c>
      <c r="L10" s="2" t="s">
        <v>586</v>
      </c>
      <c r="M10" s="2" t="s">
        <v>587</v>
      </c>
      <c r="N10" s="2" t="s">
        <v>64</v>
      </c>
      <c r="O10" s="2"/>
      <c r="P10" s="2" t="s">
        <v>588</v>
      </c>
    </row>
    <row r="11" spans="1:16" ht="31">
      <c r="A11" s="2">
        <v>10</v>
      </c>
      <c r="B11" s="2" t="s">
        <v>67</v>
      </c>
      <c r="C11" s="2" t="s">
        <v>29</v>
      </c>
      <c r="D11" s="2" t="s">
        <v>69</v>
      </c>
      <c r="E11" s="2" t="s">
        <v>68</v>
      </c>
      <c r="F11" s="2">
        <v>17</v>
      </c>
      <c r="G11" s="2" t="s">
        <v>773</v>
      </c>
      <c r="H11" s="2">
        <v>4</v>
      </c>
      <c r="I11" s="2">
        <v>5</v>
      </c>
      <c r="J11" s="2">
        <v>4</v>
      </c>
      <c r="K11" s="2">
        <v>4</v>
      </c>
      <c r="L11" s="2" t="s">
        <v>74</v>
      </c>
      <c r="M11" s="2" t="s">
        <v>38</v>
      </c>
      <c r="N11" s="2" t="s">
        <v>40</v>
      </c>
      <c r="O11" s="2" t="s">
        <v>53</v>
      </c>
      <c r="P11" s="2" t="s">
        <v>75</v>
      </c>
    </row>
    <row r="12" spans="1:16" ht="45">
      <c r="A12" s="2">
        <v>11</v>
      </c>
      <c r="B12" s="2" t="s">
        <v>256</v>
      </c>
      <c r="C12" s="2" t="s">
        <v>259</v>
      </c>
      <c r="D12" s="2" t="s">
        <v>260</v>
      </c>
      <c r="E12" s="2" t="s">
        <v>258</v>
      </c>
      <c r="F12" s="2">
        <v>16</v>
      </c>
      <c r="G12" s="2" t="s">
        <v>774</v>
      </c>
      <c r="H12" s="2">
        <v>4</v>
      </c>
      <c r="I12" s="2">
        <v>4</v>
      </c>
      <c r="J12" s="2">
        <v>5</v>
      </c>
      <c r="K12" s="2">
        <v>3</v>
      </c>
      <c r="L12" s="2" t="s">
        <v>264</v>
      </c>
      <c r="M12" s="2" t="s">
        <v>265</v>
      </c>
      <c r="N12" s="2" t="s">
        <v>266</v>
      </c>
      <c r="O12" s="2"/>
      <c r="P12" s="2" t="s">
        <v>267</v>
      </c>
    </row>
    <row r="13" spans="1:16" ht="30">
      <c r="A13" s="2">
        <v>12</v>
      </c>
      <c r="B13" s="2" t="s">
        <v>303</v>
      </c>
      <c r="C13" s="2" t="s">
        <v>58</v>
      </c>
      <c r="D13" s="2" t="s">
        <v>306</v>
      </c>
      <c r="E13" s="2" t="s">
        <v>305</v>
      </c>
      <c r="F13" s="2">
        <v>16</v>
      </c>
      <c r="G13" s="2" t="s">
        <v>774</v>
      </c>
      <c r="H13" s="2">
        <v>4</v>
      </c>
      <c r="I13" s="2">
        <v>4</v>
      </c>
      <c r="J13" s="2">
        <v>5</v>
      </c>
      <c r="K13" s="2">
        <v>3</v>
      </c>
      <c r="L13" s="2" t="s">
        <v>310</v>
      </c>
      <c r="M13" s="2" t="s">
        <v>38</v>
      </c>
      <c r="N13" s="2" t="s">
        <v>64</v>
      </c>
      <c r="O13" s="2"/>
      <c r="P13" s="2" t="s">
        <v>311</v>
      </c>
    </row>
    <row r="14" spans="1:16" ht="31">
      <c r="A14" s="2">
        <v>13</v>
      </c>
      <c r="B14" s="2" t="s">
        <v>125</v>
      </c>
      <c r="C14" s="2" t="s">
        <v>128</v>
      </c>
      <c r="D14" s="2" t="s">
        <v>129</v>
      </c>
      <c r="E14" s="2" t="s">
        <v>127</v>
      </c>
      <c r="F14" s="2">
        <v>16</v>
      </c>
      <c r="G14" s="2" t="s">
        <v>774</v>
      </c>
      <c r="H14" s="2">
        <v>4</v>
      </c>
      <c r="I14" s="2">
        <v>4</v>
      </c>
      <c r="J14" s="2">
        <v>4</v>
      </c>
      <c r="K14" s="2">
        <v>4</v>
      </c>
      <c r="L14" s="2" t="s">
        <v>133</v>
      </c>
      <c r="M14" s="2" t="s">
        <v>134</v>
      </c>
      <c r="N14" s="2" t="s">
        <v>40</v>
      </c>
      <c r="O14" s="2" t="s">
        <v>53</v>
      </c>
      <c r="P14" s="2" t="s">
        <v>135</v>
      </c>
    </row>
    <row r="15" spans="1:16" ht="31">
      <c r="A15" s="2">
        <v>14</v>
      </c>
      <c r="B15" s="2" t="s">
        <v>168</v>
      </c>
      <c r="C15" s="2" t="s">
        <v>170</v>
      </c>
      <c r="D15" s="2" t="s">
        <v>171</v>
      </c>
      <c r="E15" s="2" t="s">
        <v>169</v>
      </c>
      <c r="F15" s="2">
        <v>16</v>
      </c>
      <c r="G15" s="2" t="s">
        <v>774</v>
      </c>
      <c r="H15" s="2">
        <v>4</v>
      </c>
      <c r="I15" s="2">
        <v>4</v>
      </c>
      <c r="J15" s="2">
        <v>4</v>
      </c>
      <c r="K15" s="2">
        <v>4</v>
      </c>
      <c r="L15" s="2" t="s">
        <v>175</v>
      </c>
      <c r="M15" s="2" t="s">
        <v>52</v>
      </c>
      <c r="N15" s="2" t="s">
        <v>40</v>
      </c>
      <c r="O15" s="2" t="s">
        <v>176</v>
      </c>
      <c r="P15" s="2" t="s">
        <v>177</v>
      </c>
    </row>
    <row r="16" spans="1:16" ht="31">
      <c r="A16" s="2">
        <v>15</v>
      </c>
      <c r="B16" s="2" t="s">
        <v>534</v>
      </c>
      <c r="C16" s="2" t="s">
        <v>536</v>
      </c>
      <c r="D16" s="2" t="s">
        <v>537</v>
      </c>
      <c r="E16" s="2" t="s">
        <v>535</v>
      </c>
      <c r="F16" s="2">
        <v>16</v>
      </c>
      <c r="G16" s="2" t="s">
        <v>774</v>
      </c>
      <c r="H16" s="2">
        <v>4</v>
      </c>
      <c r="I16" s="2">
        <v>4</v>
      </c>
      <c r="J16" s="2">
        <v>4</v>
      </c>
      <c r="K16" s="2">
        <v>4</v>
      </c>
      <c r="L16" s="2" t="s">
        <v>540</v>
      </c>
      <c r="M16" s="2" t="s">
        <v>255</v>
      </c>
      <c r="N16" s="2" t="s">
        <v>40</v>
      </c>
      <c r="O16" s="2" t="s">
        <v>541</v>
      </c>
      <c r="P16" s="2" t="s">
        <v>542</v>
      </c>
    </row>
    <row r="17" spans="1:16" ht="30">
      <c r="A17" s="2">
        <v>16</v>
      </c>
      <c r="B17" s="2" t="s">
        <v>544</v>
      </c>
      <c r="C17" s="2" t="s">
        <v>546</v>
      </c>
      <c r="D17" s="2" t="s">
        <v>547</v>
      </c>
      <c r="E17" s="2" t="s">
        <v>545</v>
      </c>
      <c r="F17" s="2">
        <v>16</v>
      </c>
      <c r="G17" s="2" t="s">
        <v>774</v>
      </c>
      <c r="H17" s="2">
        <v>4</v>
      </c>
      <c r="I17" s="2">
        <v>4</v>
      </c>
      <c r="J17" s="2">
        <v>4</v>
      </c>
      <c r="K17" s="2">
        <v>4</v>
      </c>
      <c r="L17" s="2" t="s">
        <v>550</v>
      </c>
      <c r="M17" s="2" t="s">
        <v>551</v>
      </c>
      <c r="N17" s="2" t="s">
        <v>64</v>
      </c>
      <c r="O17" s="2"/>
      <c r="P17" s="2" t="s">
        <v>284</v>
      </c>
    </row>
    <row r="18" spans="1:16" ht="30">
      <c r="A18" s="2">
        <v>17</v>
      </c>
      <c r="B18" s="2" t="s">
        <v>552</v>
      </c>
      <c r="C18" s="2" t="s">
        <v>554</v>
      </c>
      <c r="D18" s="2" t="s">
        <v>555</v>
      </c>
      <c r="E18" s="2" t="s">
        <v>553</v>
      </c>
      <c r="F18" s="2">
        <v>16</v>
      </c>
      <c r="G18" s="2" t="s">
        <v>774</v>
      </c>
      <c r="H18" s="2">
        <v>4</v>
      </c>
      <c r="I18" s="2">
        <v>3</v>
      </c>
      <c r="J18" s="2">
        <v>5</v>
      </c>
      <c r="K18" s="2">
        <v>4</v>
      </c>
      <c r="L18" s="2" t="s">
        <v>559</v>
      </c>
      <c r="M18" s="2" t="s">
        <v>560</v>
      </c>
      <c r="N18" s="2" t="s">
        <v>64</v>
      </c>
      <c r="O18" s="2"/>
      <c r="P18" s="2" t="s">
        <v>284</v>
      </c>
    </row>
    <row r="19" spans="1:16" ht="31">
      <c r="A19" s="2">
        <v>18</v>
      </c>
      <c r="B19" s="2" t="s">
        <v>314</v>
      </c>
      <c r="C19" s="2" t="s">
        <v>313</v>
      </c>
      <c r="D19" s="2" t="s">
        <v>316</v>
      </c>
      <c r="E19" s="2" t="s">
        <v>315</v>
      </c>
      <c r="F19" s="2">
        <v>15</v>
      </c>
      <c r="G19" s="2" t="s">
        <v>774</v>
      </c>
      <c r="H19" s="2">
        <v>4</v>
      </c>
      <c r="I19" s="2">
        <v>4</v>
      </c>
      <c r="J19" s="2">
        <v>4</v>
      </c>
      <c r="K19" s="2">
        <v>3</v>
      </c>
      <c r="L19" s="2" t="s">
        <v>318</v>
      </c>
      <c r="M19" s="2" t="s">
        <v>255</v>
      </c>
      <c r="N19" s="2" t="s">
        <v>40</v>
      </c>
      <c r="O19" s="2" t="s">
        <v>319</v>
      </c>
      <c r="P19" s="2" t="s">
        <v>320</v>
      </c>
    </row>
    <row r="20" spans="1:16" ht="30">
      <c r="A20" s="2">
        <v>19</v>
      </c>
      <c r="B20" s="2" t="s">
        <v>342</v>
      </c>
      <c r="C20" s="2" t="s">
        <v>345</v>
      </c>
      <c r="D20" s="2" t="s">
        <v>346</v>
      </c>
      <c r="E20" s="2" t="s">
        <v>344</v>
      </c>
      <c r="F20" s="2">
        <v>15</v>
      </c>
      <c r="G20" s="2" t="s">
        <v>774</v>
      </c>
      <c r="H20" s="2">
        <v>4</v>
      </c>
      <c r="I20" s="2">
        <v>4</v>
      </c>
      <c r="J20" s="2">
        <v>4</v>
      </c>
      <c r="K20" s="2">
        <v>3</v>
      </c>
      <c r="L20" s="2" t="s">
        <v>350</v>
      </c>
      <c r="M20" s="2" t="s">
        <v>255</v>
      </c>
      <c r="N20" s="2" t="s">
        <v>64</v>
      </c>
      <c r="O20" s="2"/>
      <c r="P20" s="2" t="s">
        <v>114</v>
      </c>
    </row>
    <row r="21" spans="1:16" ht="45">
      <c r="A21" s="2">
        <v>20</v>
      </c>
      <c r="B21" s="2" t="s">
        <v>77</v>
      </c>
      <c r="C21" s="2" t="s">
        <v>80</v>
      </c>
      <c r="D21" s="2" t="s">
        <v>81</v>
      </c>
      <c r="E21" s="2" t="s">
        <v>79</v>
      </c>
      <c r="F21" s="2">
        <v>15</v>
      </c>
      <c r="G21" s="2" t="s">
        <v>774</v>
      </c>
      <c r="H21" s="2">
        <v>3</v>
      </c>
      <c r="I21" s="2">
        <v>5</v>
      </c>
      <c r="J21" s="2">
        <v>5</v>
      </c>
      <c r="K21" s="2">
        <v>2</v>
      </c>
      <c r="L21" s="2" t="s">
        <v>85</v>
      </c>
      <c r="M21" s="2" t="s">
        <v>38</v>
      </c>
      <c r="N21" s="2" t="s">
        <v>64</v>
      </c>
      <c r="O21" s="2"/>
      <c r="P21" s="2" t="s">
        <v>86</v>
      </c>
    </row>
    <row r="22" spans="1:16" ht="30">
      <c r="A22" s="2">
        <v>21</v>
      </c>
      <c r="B22" s="2" t="s">
        <v>96</v>
      </c>
      <c r="C22" s="2" t="s">
        <v>99</v>
      </c>
      <c r="D22" s="2" t="s">
        <v>100</v>
      </c>
      <c r="E22" s="2" t="s">
        <v>98</v>
      </c>
      <c r="F22" s="2">
        <v>15</v>
      </c>
      <c r="G22" s="2" t="s">
        <v>774</v>
      </c>
      <c r="H22" s="2">
        <v>3</v>
      </c>
      <c r="I22" s="2">
        <v>5</v>
      </c>
      <c r="J22" s="2">
        <v>5</v>
      </c>
      <c r="K22" s="2">
        <v>2</v>
      </c>
      <c r="L22" s="2" t="s">
        <v>105</v>
      </c>
      <c r="M22" s="2" t="s">
        <v>38</v>
      </c>
      <c r="N22" s="2" t="s">
        <v>64</v>
      </c>
      <c r="O22" s="2"/>
      <c r="P22" s="2" t="s">
        <v>107</v>
      </c>
    </row>
    <row r="23" spans="1:16" ht="31">
      <c r="A23" s="2">
        <v>22</v>
      </c>
      <c r="B23" s="2" t="s">
        <v>199</v>
      </c>
      <c r="C23" s="2" t="s">
        <v>202</v>
      </c>
      <c r="D23" s="2" t="s">
        <v>203</v>
      </c>
      <c r="E23" s="2" t="s">
        <v>201</v>
      </c>
      <c r="F23" s="2">
        <v>15</v>
      </c>
      <c r="G23" s="2" t="s">
        <v>774</v>
      </c>
      <c r="H23" s="2">
        <v>3</v>
      </c>
      <c r="I23" s="2">
        <v>5</v>
      </c>
      <c r="J23" s="2">
        <v>5</v>
      </c>
      <c r="K23" s="2">
        <v>2</v>
      </c>
      <c r="L23" s="2" t="s">
        <v>207</v>
      </c>
      <c r="M23" s="2" t="s">
        <v>38</v>
      </c>
      <c r="N23" s="2" t="s">
        <v>40</v>
      </c>
      <c r="O23" s="2" t="s">
        <v>208</v>
      </c>
      <c r="P23" s="2" t="s">
        <v>209</v>
      </c>
    </row>
    <row r="24" spans="1:16" ht="30">
      <c r="A24" s="2">
        <v>23</v>
      </c>
      <c r="B24" s="2" t="s">
        <v>219</v>
      </c>
      <c r="C24" s="2" t="s">
        <v>221</v>
      </c>
      <c r="D24" s="2" t="s">
        <v>222</v>
      </c>
      <c r="E24" s="2" t="s">
        <v>220</v>
      </c>
      <c r="F24" s="2">
        <v>15</v>
      </c>
      <c r="G24" s="2" t="s">
        <v>774</v>
      </c>
      <c r="H24" s="2">
        <v>3</v>
      </c>
      <c r="I24" s="2">
        <v>5</v>
      </c>
      <c r="J24" s="2">
        <v>5</v>
      </c>
      <c r="K24" s="2">
        <v>2</v>
      </c>
      <c r="L24" s="2" t="s">
        <v>225</v>
      </c>
      <c r="M24" s="2" t="s">
        <v>38</v>
      </c>
      <c r="N24" s="2" t="s">
        <v>64</v>
      </c>
      <c r="O24" s="2"/>
      <c r="P24" s="2" t="s">
        <v>226</v>
      </c>
    </row>
    <row r="25" spans="1:16" ht="31">
      <c r="A25" s="2">
        <v>24</v>
      </c>
      <c r="B25" s="2" t="s">
        <v>200</v>
      </c>
      <c r="C25" s="2" t="s">
        <v>269</v>
      </c>
      <c r="D25" s="2" t="s">
        <v>270</v>
      </c>
      <c r="E25" s="2" t="s">
        <v>268</v>
      </c>
      <c r="F25" s="2">
        <v>15</v>
      </c>
      <c r="G25" s="2" t="s">
        <v>774</v>
      </c>
      <c r="H25" s="2">
        <v>3</v>
      </c>
      <c r="I25" s="2">
        <v>5</v>
      </c>
      <c r="J25" s="2">
        <v>5</v>
      </c>
      <c r="K25" s="2">
        <v>2</v>
      </c>
      <c r="L25" s="2" t="s">
        <v>273</v>
      </c>
      <c r="M25" s="2" t="s">
        <v>255</v>
      </c>
      <c r="N25" s="2" t="s">
        <v>40</v>
      </c>
      <c r="O25" s="2" t="s">
        <v>208</v>
      </c>
      <c r="P25" s="2" t="s">
        <v>274</v>
      </c>
    </row>
    <row r="26" spans="1:16" ht="30">
      <c r="A26" s="2">
        <v>25</v>
      </c>
      <c r="B26" s="2" t="s">
        <v>285</v>
      </c>
      <c r="C26" s="2" t="s">
        <v>287</v>
      </c>
      <c r="D26" s="2" t="s">
        <v>288</v>
      </c>
      <c r="E26" s="2" t="s">
        <v>286</v>
      </c>
      <c r="F26" s="2">
        <v>15</v>
      </c>
      <c r="G26" s="2" t="s">
        <v>774</v>
      </c>
      <c r="H26" s="2">
        <v>3</v>
      </c>
      <c r="I26" s="2">
        <v>5</v>
      </c>
      <c r="J26" s="2">
        <v>5</v>
      </c>
      <c r="K26" s="2">
        <v>2</v>
      </c>
      <c r="L26" s="2" t="s">
        <v>291</v>
      </c>
      <c r="M26" s="2" t="s">
        <v>255</v>
      </c>
      <c r="N26" s="2" t="s">
        <v>64</v>
      </c>
      <c r="O26" s="2"/>
      <c r="P26" s="2" t="s">
        <v>284</v>
      </c>
    </row>
    <row r="27" spans="1:16" ht="30">
      <c r="A27" s="2">
        <v>26</v>
      </c>
      <c r="B27" s="2" t="s">
        <v>666</v>
      </c>
      <c r="C27" s="2" t="s">
        <v>668</v>
      </c>
      <c r="D27" s="2" t="s">
        <v>669</v>
      </c>
      <c r="E27" s="2" t="s">
        <v>667</v>
      </c>
      <c r="F27" s="2">
        <v>15</v>
      </c>
      <c r="G27" s="2" t="s">
        <v>774</v>
      </c>
      <c r="H27" s="2">
        <v>3</v>
      </c>
      <c r="I27" s="2">
        <v>4</v>
      </c>
      <c r="J27" s="2">
        <v>5</v>
      </c>
      <c r="K27" s="2">
        <v>3</v>
      </c>
      <c r="L27" s="2" t="s">
        <v>674</v>
      </c>
      <c r="M27" s="2" t="s">
        <v>255</v>
      </c>
      <c r="N27" s="2" t="s">
        <v>64</v>
      </c>
      <c r="O27" s="2"/>
      <c r="P27" s="2" t="s">
        <v>114</v>
      </c>
    </row>
    <row r="28" spans="1:16" ht="45">
      <c r="A28" s="2">
        <v>27</v>
      </c>
      <c r="B28" s="2" t="s">
        <v>88</v>
      </c>
      <c r="C28" s="2" t="s">
        <v>90</v>
      </c>
      <c r="D28" s="2" t="s">
        <v>91</v>
      </c>
      <c r="E28" s="2" t="s">
        <v>89</v>
      </c>
      <c r="F28" s="2">
        <v>14</v>
      </c>
      <c r="G28" s="2" t="s">
        <v>774</v>
      </c>
      <c r="H28" s="2">
        <v>3</v>
      </c>
      <c r="I28" s="2">
        <v>5</v>
      </c>
      <c r="J28" s="2">
        <v>4</v>
      </c>
      <c r="K28" s="2">
        <v>2</v>
      </c>
      <c r="L28" s="2" t="s">
        <v>95</v>
      </c>
      <c r="M28" s="2" t="s">
        <v>38</v>
      </c>
      <c r="N28" s="2" t="s">
        <v>64</v>
      </c>
      <c r="O28" s="2"/>
      <c r="P28" s="2" t="s">
        <v>86</v>
      </c>
    </row>
    <row r="29" spans="1:16" ht="30">
      <c r="A29" s="2">
        <v>28</v>
      </c>
      <c r="B29" s="2" t="s">
        <v>275</v>
      </c>
      <c r="C29" s="2" t="s">
        <v>278</v>
      </c>
      <c r="D29" s="2" t="s">
        <v>279</v>
      </c>
      <c r="E29" s="2" t="s">
        <v>277</v>
      </c>
      <c r="F29" s="2">
        <v>14</v>
      </c>
      <c r="G29" s="2" t="s">
        <v>774</v>
      </c>
      <c r="H29" s="2">
        <v>3</v>
      </c>
      <c r="I29" s="2">
        <v>4</v>
      </c>
      <c r="J29" s="2">
        <v>5</v>
      </c>
      <c r="K29" s="2">
        <v>2</v>
      </c>
      <c r="L29" s="2" t="s">
        <v>283</v>
      </c>
      <c r="M29" s="2" t="s">
        <v>255</v>
      </c>
      <c r="N29" s="2" t="s">
        <v>64</v>
      </c>
      <c r="O29" s="2"/>
      <c r="P29" s="2" t="s">
        <v>284</v>
      </c>
    </row>
    <row r="30" spans="1:16" ht="31">
      <c r="A30" s="2">
        <v>29</v>
      </c>
      <c r="B30" s="2" t="s">
        <v>387</v>
      </c>
      <c r="C30" s="2" t="s">
        <v>378</v>
      </c>
      <c r="D30" s="2" t="s">
        <v>390</v>
      </c>
      <c r="E30" s="2" t="s">
        <v>389</v>
      </c>
      <c r="F30" s="2">
        <v>14</v>
      </c>
      <c r="G30" s="2" t="s">
        <v>774</v>
      </c>
      <c r="H30" s="2">
        <v>3</v>
      </c>
      <c r="I30" s="2">
        <v>4</v>
      </c>
      <c r="J30" s="2">
        <v>5</v>
      </c>
      <c r="K30" s="2">
        <v>2</v>
      </c>
      <c r="L30" s="2" t="s">
        <v>393</v>
      </c>
      <c r="M30" s="2" t="s">
        <v>255</v>
      </c>
      <c r="N30" s="2" t="s">
        <v>40</v>
      </c>
      <c r="O30" s="2" t="s">
        <v>394</v>
      </c>
      <c r="P30" s="2" t="s">
        <v>395</v>
      </c>
    </row>
    <row r="31" spans="1:16" ht="31">
      <c r="A31" s="2">
        <v>30</v>
      </c>
      <c r="B31" s="2" t="s">
        <v>396</v>
      </c>
      <c r="C31" s="2" t="s">
        <v>378</v>
      </c>
      <c r="D31" s="2" t="s">
        <v>399</v>
      </c>
      <c r="E31" s="2" t="s">
        <v>398</v>
      </c>
      <c r="F31" s="2">
        <v>14</v>
      </c>
      <c r="G31" s="2" t="s">
        <v>774</v>
      </c>
      <c r="H31" s="2">
        <v>3</v>
      </c>
      <c r="I31" s="2">
        <v>4</v>
      </c>
      <c r="J31" s="2">
        <v>5</v>
      </c>
      <c r="K31" s="2">
        <v>2</v>
      </c>
      <c r="L31" s="2" t="s">
        <v>402</v>
      </c>
      <c r="M31" s="2" t="s">
        <v>255</v>
      </c>
      <c r="N31" s="2" t="s">
        <v>40</v>
      </c>
      <c r="O31" s="2" t="s">
        <v>403</v>
      </c>
      <c r="P31" s="2" t="s">
        <v>404</v>
      </c>
    </row>
  </sheetData>
  <conditionalFormatting sqref="F2:F31">
    <cfRule type="colorScale" priority="1">
      <colorScale>
        <cfvo type="min"/>
        <cfvo type="percentile" val="50"/>
        <cfvo type="max"/>
        <color rgb="FFFDE9E7"/>
        <color rgb="FFFFF2CC"/>
        <color rgb="FFE2F0D9"/>
      </colorScale>
    </cfRule>
  </conditionalFormatting>
  <conditionalFormatting sqref="N2:N31">
    <cfRule type="expression" dxfId="2" priority="2">
      <formula>N2="Yes"</formula>
    </cfRule>
    <cfRule type="expression" dxfId="1" priority="3">
      <formula>N2="Needs recheck"</formula>
    </cfRule>
    <cfRule type="expression" dxfId="0" priority="4">
      <formula>N2="Not located"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baseColWidth="10" defaultColWidth="8.83203125" defaultRowHeight="14"/>
  <cols>
    <col min="1" max="1" width="32" customWidth="1"/>
    <col min="2" max="6" width="14" customWidth="1"/>
  </cols>
  <sheetData>
    <row r="1" spans="1:6" ht="16">
      <c r="A1" s="1" t="s">
        <v>3</v>
      </c>
      <c r="B1" s="1" t="s">
        <v>775</v>
      </c>
      <c r="C1" s="1" t="s">
        <v>776</v>
      </c>
      <c r="D1" s="1" t="s">
        <v>777</v>
      </c>
      <c r="E1" s="1" t="s">
        <v>778</v>
      </c>
      <c r="F1" s="1" t="s">
        <v>779</v>
      </c>
    </row>
    <row r="2" spans="1:6">
      <c r="A2" t="s">
        <v>592</v>
      </c>
      <c r="B2">
        <v>1</v>
      </c>
      <c r="C2">
        <v>18</v>
      </c>
      <c r="D2">
        <v>18</v>
      </c>
      <c r="E2">
        <v>1</v>
      </c>
      <c r="F2">
        <v>0</v>
      </c>
    </row>
    <row r="3" spans="1:6">
      <c r="A3" t="s">
        <v>29</v>
      </c>
      <c r="B3">
        <v>3</v>
      </c>
      <c r="C3">
        <v>17</v>
      </c>
      <c r="D3">
        <v>17</v>
      </c>
      <c r="E3">
        <v>3</v>
      </c>
      <c r="F3">
        <v>0</v>
      </c>
    </row>
    <row r="4" spans="1:6">
      <c r="A4" t="s">
        <v>202</v>
      </c>
      <c r="B4">
        <v>2</v>
      </c>
      <c r="C4">
        <v>16</v>
      </c>
      <c r="D4">
        <v>17</v>
      </c>
      <c r="E4">
        <v>1</v>
      </c>
      <c r="F4">
        <v>1</v>
      </c>
    </row>
    <row r="5" spans="1:6">
      <c r="A5" t="s">
        <v>99</v>
      </c>
      <c r="B5">
        <v>2</v>
      </c>
      <c r="C5">
        <v>16</v>
      </c>
      <c r="D5">
        <v>17</v>
      </c>
      <c r="E5">
        <v>1</v>
      </c>
      <c r="F5">
        <v>1</v>
      </c>
    </row>
    <row r="6" spans="1:6">
      <c r="A6" t="s">
        <v>58</v>
      </c>
      <c r="B6">
        <v>2</v>
      </c>
      <c r="C6">
        <v>16.5</v>
      </c>
      <c r="D6">
        <v>17</v>
      </c>
      <c r="E6">
        <v>1</v>
      </c>
      <c r="F6">
        <v>1</v>
      </c>
    </row>
    <row r="7" spans="1:6">
      <c r="A7" t="s">
        <v>583</v>
      </c>
      <c r="B7">
        <v>1</v>
      </c>
      <c r="C7">
        <v>17</v>
      </c>
      <c r="D7">
        <v>17</v>
      </c>
      <c r="E7">
        <v>1</v>
      </c>
      <c r="F7">
        <v>0</v>
      </c>
    </row>
    <row r="8" spans="1:6">
      <c r="A8" t="s">
        <v>139</v>
      </c>
      <c r="B8">
        <v>1</v>
      </c>
      <c r="C8">
        <v>17</v>
      </c>
      <c r="D8">
        <v>17</v>
      </c>
      <c r="E8">
        <v>1</v>
      </c>
      <c r="F8">
        <v>0</v>
      </c>
    </row>
    <row r="9" spans="1:6">
      <c r="A9" t="s">
        <v>117</v>
      </c>
      <c r="B9">
        <v>1</v>
      </c>
      <c r="C9">
        <v>17</v>
      </c>
      <c r="D9">
        <v>17</v>
      </c>
      <c r="E9">
        <v>1</v>
      </c>
      <c r="F9">
        <v>0</v>
      </c>
    </row>
    <row r="10" spans="1:6">
      <c r="A10" t="s">
        <v>259</v>
      </c>
      <c r="B10">
        <v>1</v>
      </c>
      <c r="C10">
        <v>16</v>
      </c>
      <c r="D10">
        <v>16</v>
      </c>
      <c r="E10">
        <v>0</v>
      </c>
      <c r="F10">
        <v>1</v>
      </c>
    </row>
    <row r="11" spans="1:6">
      <c r="A11" t="s">
        <v>554</v>
      </c>
      <c r="B11">
        <v>1</v>
      </c>
      <c r="C11">
        <v>16</v>
      </c>
      <c r="D11">
        <v>16</v>
      </c>
      <c r="E11">
        <v>0</v>
      </c>
      <c r="F11">
        <v>1</v>
      </c>
    </row>
    <row r="12" spans="1:6">
      <c r="A12" t="s">
        <v>170</v>
      </c>
      <c r="B12">
        <v>1</v>
      </c>
      <c r="C12">
        <v>16</v>
      </c>
      <c r="D12">
        <v>16</v>
      </c>
      <c r="E12">
        <v>0</v>
      </c>
      <c r="F12">
        <v>1</v>
      </c>
    </row>
    <row r="13" spans="1:6">
      <c r="A13" t="s">
        <v>536</v>
      </c>
      <c r="B13">
        <v>1</v>
      </c>
      <c r="C13">
        <v>16</v>
      </c>
      <c r="D13">
        <v>16</v>
      </c>
      <c r="E13">
        <v>0</v>
      </c>
      <c r="F13">
        <v>1</v>
      </c>
    </row>
    <row r="14" spans="1:6">
      <c r="A14" t="s">
        <v>546</v>
      </c>
      <c r="B14">
        <v>1</v>
      </c>
      <c r="C14">
        <v>16</v>
      </c>
      <c r="D14">
        <v>16</v>
      </c>
      <c r="E14">
        <v>0</v>
      </c>
      <c r="F14">
        <v>1</v>
      </c>
    </row>
    <row r="15" spans="1:6">
      <c r="A15" t="s">
        <v>128</v>
      </c>
      <c r="B15">
        <v>1</v>
      </c>
      <c r="C15">
        <v>16</v>
      </c>
      <c r="D15">
        <v>16</v>
      </c>
      <c r="E15">
        <v>0</v>
      </c>
      <c r="F15">
        <v>1</v>
      </c>
    </row>
    <row r="16" spans="1:6">
      <c r="A16" t="s">
        <v>313</v>
      </c>
      <c r="B16">
        <v>5</v>
      </c>
      <c r="C16">
        <v>13.2</v>
      </c>
      <c r="D16">
        <v>15</v>
      </c>
      <c r="E16">
        <v>0</v>
      </c>
      <c r="F16">
        <v>1</v>
      </c>
    </row>
    <row r="17" spans="1:6">
      <c r="A17" t="s">
        <v>80</v>
      </c>
      <c r="B17">
        <v>2</v>
      </c>
      <c r="C17">
        <v>12.5</v>
      </c>
      <c r="D17">
        <v>15</v>
      </c>
      <c r="E17">
        <v>0</v>
      </c>
      <c r="F17">
        <v>1</v>
      </c>
    </row>
    <row r="18" spans="1:6">
      <c r="A18" t="s">
        <v>668</v>
      </c>
      <c r="B18">
        <v>1</v>
      </c>
      <c r="C18">
        <v>15</v>
      </c>
      <c r="D18">
        <v>15</v>
      </c>
      <c r="E18">
        <v>0</v>
      </c>
      <c r="F18">
        <v>1</v>
      </c>
    </row>
    <row r="19" spans="1:6">
      <c r="A19" t="s">
        <v>269</v>
      </c>
      <c r="B19">
        <v>1</v>
      </c>
      <c r="C19">
        <v>15</v>
      </c>
      <c r="D19">
        <v>15</v>
      </c>
      <c r="E19">
        <v>0</v>
      </c>
      <c r="F19">
        <v>1</v>
      </c>
    </row>
    <row r="20" spans="1:6">
      <c r="A20" t="s">
        <v>287</v>
      </c>
      <c r="B20">
        <v>1</v>
      </c>
      <c r="C20">
        <v>15</v>
      </c>
      <c r="D20">
        <v>15</v>
      </c>
      <c r="E20">
        <v>0</v>
      </c>
      <c r="F20">
        <v>1</v>
      </c>
    </row>
    <row r="21" spans="1:6">
      <c r="A21" t="s">
        <v>221</v>
      </c>
      <c r="B21">
        <v>1</v>
      </c>
      <c r="C21">
        <v>15</v>
      </c>
      <c r="D21">
        <v>15</v>
      </c>
      <c r="E21">
        <v>0</v>
      </c>
      <c r="F21">
        <v>1</v>
      </c>
    </row>
    <row r="22" spans="1:6">
      <c r="A22" t="s">
        <v>345</v>
      </c>
      <c r="B22">
        <v>1</v>
      </c>
      <c r="C22">
        <v>15</v>
      </c>
      <c r="D22">
        <v>15</v>
      </c>
      <c r="E22">
        <v>0</v>
      </c>
      <c r="F22">
        <v>1</v>
      </c>
    </row>
    <row r="23" spans="1:6">
      <c r="A23" t="s">
        <v>378</v>
      </c>
      <c r="B23">
        <v>3</v>
      </c>
      <c r="C23">
        <v>13.3</v>
      </c>
      <c r="D23">
        <v>14</v>
      </c>
      <c r="E23">
        <v>0</v>
      </c>
      <c r="F23">
        <v>2</v>
      </c>
    </row>
    <row r="24" spans="1:6">
      <c r="A24" t="s">
        <v>278</v>
      </c>
      <c r="B24">
        <v>1</v>
      </c>
      <c r="C24">
        <v>14</v>
      </c>
      <c r="D24">
        <v>14</v>
      </c>
      <c r="E24">
        <v>0</v>
      </c>
      <c r="F24">
        <v>1</v>
      </c>
    </row>
    <row r="25" spans="1:6">
      <c r="A25" t="s">
        <v>295</v>
      </c>
      <c r="B25">
        <v>1</v>
      </c>
      <c r="C25">
        <v>14</v>
      </c>
      <c r="D25">
        <v>14</v>
      </c>
      <c r="E25">
        <v>0</v>
      </c>
      <c r="F25">
        <v>1</v>
      </c>
    </row>
    <row r="26" spans="1:6">
      <c r="A26" t="s">
        <v>90</v>
      </c>
      <c r="B26">
        <v>1</v>
      </c>
      <c r="C26">
        <v>14</v>
      </c>
      <c r="D26">
        <v>14</v>
      </c>
      <c r="E26">
        <v>0</v>
      </c>
      <c r="F26">
        <v>1</v>
      </c>
    </row>
    <row r="27" spans="1:6">
      <c r="A27" t="s">
        <v>181</v>
      </c>
      <c r="B27">
        <v>1</v>
      </c>
      <c r="C27">
        <v>14</v>
      </c>
      <c r="D27">
        <v>14</v>
      </c>
      <c r="E27">
        <v>0</v>
      </c>
      <c r="F27">
        <v>1</v>
      </c>
    </row>
    <row r="28" spans="1:6">
      <c r="A28" t="s">
        <v>149</v>
      </c>
      <c r="B28">
        <v>1</v>
      </c>
      <c r="C28">
        <v>14</v>
      </c>
      <c r="D28">
        <v>14</v>
      </c>
      <c r="E28">
        <v>0</v>
      </c>
      <c r="F28">
        <v>1</v>
      </c>
    </row>
    <row r="29" spans="1:6">
      <c r="A29" t="s">
        <v>461</v>
      </c>
      <c r="B29">
        <v>1</v>
      </c>
      <c r="C29">
        <v>14</v>
      </c>
      <c r="D29">
        <v>14</v>
      </c>
      <c r="E29">
        <v>0</v>
      </c>
      <c r="F29">
        <v>1</v>
      </c>
    </row>
    <row r="30" spans="1:6">
      <c r="A30" t="s">
        <v>659</v>
      </c>
      <c r="B30">
        <v>1</v>
      </c>
      <c r="C30">
        <v>14</v>
      </c>
      <c r="D30">
        <v>14</v>
      </c>
      <c r="E30">
        <v>0</v>
      </c>
      <c r="F30">
        <v>1</v>
      </c>
    </row>
    <row r="31" spans="1:6">
      <c r="A31" t="s">
        <v>625</v>
      </c>
      <c r="B31">
        <v>1</v>
      </c>
      <c r="C31">
        <v>14</v>
      </c>
      <c r="D31">
        <v>14</v>
      </c>
      <c r="E31">
        <v>0</v>
      </c>
      <c r="F31">
        <v>1</v>
      </c>
    </row>
    <row r="32" spans="1:6">
      <c r="A32" t="s">
        <v>604</v>
      </c>
      <c r="B32">
        <v>1</v>
      </c>
      <c r="C32">
        <v>14</v>
      </c>
      <c r="D32">
        <v>14</v>
      </c>
      <c r="E32">
        <v>0</v>
      </c>
      <c r="F32">
        <v>1</v>
      </c>
    </row>
    <row r="33" spans="1:6">
      <c r="A33" t="s">
        <v>633</v>
      </c>
      <c r="B33">
        <v>1</v>
      </c>
      <c r="C33">
        <v>14</v>
      </c>
      <c r="D33">
        <v>14</v>
      </c>
      <c r="E33">
        <v>0</v>
      </c>
      <c r="F33">
        <v>1</v>
      </c>
    </row>
    <row r="34" spans="1:6">
      <c r="A34" t="s">
        <v>504</v>
      </c>
      <c r="B34">
        <v>3</v>
      </c>
      <c r="C34">
        <v>12.3</v>
      </c>
      <c r="D34">
        <v>13</v>
      </c>
      <c r="E34">
        <v>0</v>
      </c>
      <c r="F34">
        <v>0</v>
      </c>
    </row>
    <row r="35" spans="1:6">
      <c r="A35" t="s">
        <v>409</v>
      </c>
      <c r="B35">
        <v>3</v>
      </c>
      <c r="C35">
        <v>12.7</v>
      </c>
      <c r="D35">
        <v>13</v>
      </c>
      <c r="E35">
        <v>0</v>
      </c>
      <c r="F35">
        <v>0</v>
      </c>
    </row>
    <row r="36" spans="1:6">
      <c r="A36" t="s">
        <v>728</v>
      </c>
      <c r="B36">
        <v>2</v>
      </c>
      <c r="C36">
        <v>13</v>
      </c>
      <c r="D36">
        <v>13</v>
      </c>
      <c r="E36">
        <v>0</v>
      </c>
      <c r="F36">
        <v>0</v>
      </c>
    </row>
    <row r="37" spans="1:6">
      <c r="A37" t="s">
        <v>248</v>
      </c>
      <c r="B37">
        <v>1</v>
      </c>
      <c r="C37">
        <v>13</v>
      </c>
      <c r="D37">
        <v>13</v>
      </c>
      <c r="E37">
        <v>0</v>
      </c>
      <c r="F37">
        <v>0</v>
      </c>
    </row>
    <row r="38" spans="1:6">
      <c r="A38" t="s">
        <v>563</v>
      </c>
      <c r="B38">
        <v>1</v>
      </c>
      <c r="C38">
        <v>13</v>
      </c>
      <c r="D38">
        <v>13</v>
      </c>
      <c r="E38">
        <v>0</v>
      </c>
      <c r="F38">
        <v>0</v>
      </c>
    </row>
    <row r="39" spans="1:6">
      <c r="A39" t="s">
        <v>359</v>
      </c>
      <c r="B39">
        <v>1</v>
      </c>
      <c r="C39">
        <v>13</v>
      </c>
      <c r="D39">
        <v>13</v>
      </c>
      <c r="E39">
        <v>0</v>
      </c>
      <c r="F39">
        <v>0</v>
      </c>
    </row>
    <row r="40" spans="1:6">
      <c r="A40" t="s">
        <v>708</v>
      </c>
      <c r="B40">
        <v>1</v>
      </c>
      <c r="C40">
        <v>13</v>
      </c>
      <c r="D40">
        <v>13</v>
      </c>
      <c r="E40">
        <v>0</v>
      </c>
      <c r="F40">
        <v>0</v>
      </c>
    </row>
    <row r="41" spans="1:6">
      <c r="A41" t="s">
        <v>432</v>
      </c>
      <c r="B41">
        <v>1</v>
      </c>
      <c r="C41">
        <v>13</v>
      </c>
      <c r="D41">
        <v>13</v>
      </c>
      <c r="E41">
        <v>0</v>
      </c>
      <c r="F41">
        <v>0</v>
      </c>
    </row>
    <row r="42" spans="1:6">
      <c r="A42" t="s">
        <v>192</v>
      </c>
      <c r="B42">
        <v>1</v>
      </c>
      <c r="C42">
        <v>13</v>
      </c>
      <c r="D42">
        <v>13</v>
      </c>
      <c r="E42">
        <v>0</v>
      </c>
      <c r="F42">
        <v>0</v>
      </c>
    </row>
    <row r="43" spans="1:6">
      <c r="A43" t="s">
        <v>753</v>
      </c>
      <c r="B43">
        <v>1</v>
      </c>
      <c r="C43">
        <v>13</v>
      </c>
      <c r="D43">
        <v>13</v>
      </c>
      <c r="E43">
        <v>0</v>
      </c>
      <c r="F43">
        <v>0</v>
      </c>
    </row>
    <row r="44" spans="1:6">
      <c r="A44" t="s">
        <v>613</v>
      </c>
      <c r="B44">
        <v>1</v>
      </c>
      <c r="C44">
        <v>13</v>
      </c>
      <c r="D44">
        <v>13</v>
      </c>
      <c r="E44">
        <v>0</v>
      </c>
      <c r="F44">
        <v>0</v>
      </c>
    </row>
    <row r="45" spans="1:6">
      <c r="A45" t="s">
        <v>231</v>
      </c>
      <c r="B45">
        <v>1</v>
      </c>
      <c r="C45">
        <v>12</v>
      </c>
      <c r="D45">
        <v>12</v>
      </c>
      <c r="E45">
        <v>0</v>
      </c>
      <c r="F45">
        <v>0</v>
      </c>
    </row>
    <row r="46" spans="1:6">
      <c r="A46" t="s">
        <v>469</v>
      </c>
      <c r="B46">
        <v>1</v>
      </c>
      <c r="C46">
        <v>12</v>
      </c>
      <c r="D46">
        <v>12</v>
      </c>
      <c r="E46">
        <v>0</v>
      </c>
      <c r="F46">
        <v>0</v>
      </c>
    </row>
    <row r="47" spans="1:6">
      <c r="A47" t="s">
        <v>452</v>
      </c>
      <c r="B47">
        <v>1</v>
      </c>
      <c r="C47">
        <v>12</v>
      </c>
      <c r="D47">
        <v>12</v>
      </c>
      <c r="E47">
        <v>0</v>
      </c>
      <c r="F47">
        <v>0</v>
      </c>
    </row>
    <row r="48" spans="1:6">
      <c r="A48" t="s">
        <v>366</v>
      </c>
      <c r="B48">
        <v>1</v>
      </c>
      <c r="C48">
        <v>12</v>
      </c>
      <c r="D48">
        <v>12</v>
      </c>
      <c r="E48">
        <v>0</v>
      </c>
      <c r="F48">
        <v>0</v>
      </c>
    </row>
    <row r="49" spans="1:6">
      <c r="A49" t="s">
        <v>700</v>
      </c>
      <c r="B49">
        <v>1</v>
      </c>
      <c r="C49">
        <v>12</v>
      </c>
      <c r="D49">
        <v>12</v>
      </c>
      <c r="E49">
        <v>0</v>
      </c>
      <c r="F49">
        <v>0</v>
      </c>
    </row>
    <row r="50" spans="1:6">
      <c r="A50" t="s">
        <v>443</v>
      </c>
      <c r="B50">
        <v>1</v>
      </c>
      <c r="C50">
        <v>12</v>
      </c>
      <c r="D50">
        <v>12</v>
      </c>
      <c r="E50">
        <v>0</v>
      </c>
      <c r="F50">
        <v>0</v>
      </c>
    </row>
    <row r="51" spans="1:6">
      <c r="A51" t="s">
        <v>354</v>
      </c>
      <c r="B51">
        <v>1</v>
      </c>
      <c r="C51">
        <v>12</v>
      </c>
      <c r="D51">
        <v>12</v>
      </c>
      <c r="E51">
        <v>0</v>
      </c>
      <c r="F51">
        <v>0</v>
      </c>
    </row>
    <row r="52" spans="1:6">
      <c r="A52" t="s">
        <v>159</v>
      </c>
      <c r="B52">
        <v>1</v>
      </c>
      <c r="C52">
        <v>12</v>
      </c>
      <c r="D52">
        <v>12</v>
      </c>
      <c r="E52">
        <v>0</v>
      </c>
      <c r="F52">
        <v>0</v>
      </c>
    </row>
    <row r="53" spans="1:6">
      <c r="A53" t="s">
        <v>678</v>
      </c>
      <c r="B53">
        <v>1</v>
      </c>
      <c r="C53">
        <v>12</v>
      </c>
      <c r="D53">
        <v>12</v>
      </c>
      <c r="E53">
        <v>0</v>
      </c>
      <c r="F53">
        <v>0</v>
      </c>
    </row>
    <row r="54" spans="1:6">
      <c r="A54" t="s">
        <v>478</v>
      </c>
      <c r="B54">
        <v>1</v>
      </c>
      <c r="C54">
        <v>12</v>
      </c>
      <c r="D54">
        <v>12</v>
      </c>
      <c r="E54">
        <v>0</v>
      </c>
      <c r="F54">
        <v>0</v>
      </c>
    </row>
    <row r="55" spans="1:6">
      <c r="A55" t="s">
        <v>487</v>
      </c>
      <c r="B55">
        <v>1</v>
      </c>
      <c r="C55">
        <v>12</v>
      </c>
      <c r="D55">
        <v>12</v>
      </c>
      <c r="E55">
        <v>0</v>
      </c>
      <c r="F55">
        <v>0</v>
      </c>
    </row>
    <row r="56" spans="1:6">
      <c r="A56" t="s">
        <v>335</v>
      </c>
      <c r="B56">
        <v>1</v>
      </c>
      <c r="C56">
        <v>12</v>
      </c>
      <c r="D56">
        <v>12</v>
      </c>
      <c r="E56">
        <v>0</v>
      </c>
      <c r="F56">
        <v>0</v>
      </c>
    </row>
    <row r="57" spans="1:6">
      <c r="A57" t="s">
        <v>643</v>
      </c>
      <c r="B57">
        <v>2</v>
      </c>
      <c r="C57">
        <v>10</v>
      </c>
      <c r="D57">
        <v>11</v>
      </c>
      <c r="E57">
        <v>0</v>
      </c>
      <c r="F57">
        <v>0</v>
      </c>
    </row>
    <row r="58" spans="1:6">
      <c r="A58" t="s">
        <v>761</v>
      </c>
      <c r="B58">
        <v>1</v>
      </c>
      <c r="C58">
        <v>11</v>
      </c>
      <c r="D58">
        <v>11</v>
      </c>
      <c r="E58">
        <v>0</v>
      </c>
      <c r="F58">
        <v>0</v>
      </c>
    </row>
    <row r="59" spans="1:6">
      <c r="A59" t="s">
        <v>495</v>
      </c>
      <c r="B59">
        <v>1</v>
      </c>
      <c r="C59">
        <v>11</v>
      </c>
      <c r="D59">
        <v>11</v>
      </c>
      <c r="E59">
        <v>0</v>
      </c>
      <c r="F59">
        <v>0</v>
      </c>
    </row>
    <row r="60" spans="1:6">
      <c r="A60" t="s">
        <v>718</v>
      </c>
      <c r="B60">
        <v>1</v>
      </c>
      <c r="C60">
        <v>10</v>
      </c>
      <c r="D60">
        <v>10</v>
      </c>
      <c r="E60">
        <v>0</v>
      </c>
      <c r="F60">
        <v>0</v>
      </c>
    </row>
    <row r="61" spans="1:6">
      <c r="A61" t="s">
        <v>574</v>
      </c>
      <c r="B61">
        <v>1</v>
      </c>
      <c r="C61">
        <v>10</v>
      </c>
      <c r="D61">
        <v>10</v>
      </c>
      <c r="E61">
        <v>0</v>
      </c>
      <c r="F61">
        <v>0</v>
      </c>
    </row>
    <row r="62" spans="1:6">
      <c r="A62" t="s">
        <v>690</v>
      </c>
      <c r="B62">
        <v>1</v>
      </c>
      <c r="C62">
        <v>9</v>
      </c>
      <c r="D62">
        <v>9</v>
      </c>
      <c r="E62">
        <v>0</v>
      </c>
      <c r="F62">
        <v>0</v>
      </c>
    </row>
    <row r="63" spans="1:6">
      <c r="A63" t="s">
        <v>744</v>
      </c>
      <c r="B63">
        <v>1</v>
      </c>
      <c r="C63">
        <v>9</v>
      </c>
      <c r="D63">
        <v>9</v>
      </c>
      <c r="E63">
        <v>0</v>
      </c>
      <c r="F63">
        <v>0</v>
      </c>
    </row>
    <row r="64" spans="1:6">
      <c r="A64" t="s">
        <v>530</v>
      </c>
      <c r="B64">
        <v>1</v>
      </c>
      <c r="C64">
        <v>9</v>
      </c>
      <c r="D64">
        <v>9</v>
      </c>
      <c r="E64">
        <v>0</v>
      </c>
      <c r="F64">
        <v>0</v>
      </c>
    </row>
  </sheetData>
  <conditionalFormatting sqref="C2:D64">
    <cfRule type="colorScale" priority="1">
      <colorScale>
        <cfvo type="min"/>
        <cfvo type="percentile" val="50"/>
        <cfvo type="max"/>
        <color rgb="FFFDE9E7"/>
        <color rgb="FFFFF2CC"/>
        <color rgb="FFE2F0D9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/>
  </sheetViews>
  <sheetFormatPr baseColWidth="10" defaultColWidth="8.83203125" defaultRowHeight="14"/>
  <cols>
    <col min="1" max="1" width="30" customWidth="1"/>
    <col min="2" max="2" width="90" customWidth="1"/>
    <col min="4" max="5" width="22" customWidth="1"/>
  </cols>
  <sheetData>
    <row r="1" spans="1:7" ht="18">
      <c r="A1" s="1" t="s">
        <v>780</v>
      </c>
      <c r="B1" s="1" t="s">
        <v>781</v>
      </c>
      <c r="D1" s="5" t="s">
        <v>782</v>
      </c>
      <c r="E1" s="5"/>
      <c r="F1" s="5"/>
      <c r="G1" s="5"/>
    </row>
    <row r="2" spans="1:7" ht="30">
      <c r="A2" s="2" t="s">
        <v>11</v>
      </c>
      <c r="B2" s="2" t="s">
        <v>783</v>
      </c>
      <c r="D2" s="1" t="s">
        <v>784</v>
      </c>
      <c r="E2" s="1" t="s">
        <v>785</v>
      </c>
    </row>
    <row r="3" spans="1:7" ht="15">
      <c r="A3" s="2" t="s">
        <v>12</v>
      </c>
      <c r="B3" s="2" t="s">
        <v>786</v>
      </c>
      <c r="D3" t="s">
        <v>787</v>
      </c>
      <c r="E3">
        <v>81</v>
      </c>
    </row>
    <row r="4" spans="1:7" ht="15">
      <c r="A4" s="2" t="s">
        <v>13</v>
      </c>
      <c r="B4" s="2" t="s">
        <v>788</v>
      </c>
      <c r="D4" t="s">
        <v>789</v>
      </c>
      <c r="E4">
        <v>10</v>
      </c>
    </row>
    <row r="5" spans="1:7" ht="15">
      <c r="A5" s="2" t="s">
        <v>14</v>
      </c>
      <c r="B5" s="2" t="s">
        <v>790</v>
      </c>
      <c r="D5" t="s">
        <v>791</v>
      </c>
      <c r="E5">
        <v>28</v>
      </c>
    </row>
    <row r="6" spans="1:7" ht="15">
      <c r="A6" s="2" t="s">
        <v>15</v>
      </c>
      <c r="B6" s="2" t="s">
        <v>792</v>
      </c>
      <c r="D6" t="s">
        <v>793</v>
      </c>
      <c r="E6">
        <v>18</v>
      </c>
    </row>
    <row r="7" spans="1:7" ht="15">
      <c r="A7" s="2" t="s">
        <v>773</v>
      </c>
      <c r="B7" s="2" t="s">
        <v>794</v>
      </c>
    </row>
    <row r="8" spans="1:7" ht="15">
      <c r="A8" s="2" t="s">
        <v>774</v>
      </c>
      <c r="B8" s="2" t="s">
        <v>795</v>
      </c>
    </row>
    <row r="9" spans="1:7" ht="15">
      <c r="A9" s="2" t="s">
        <v>796</v>
      </c>
      <c r="B9" s="2" t="s">
        <v>797</v>
      </c>
    </row>
    <row r="10" spans="1:7" ht="15">
      <c r="A10" s="2" t="s">
        <v>798</v>
      </c>
      <c r="B10" s="2" t="s">
        <v>799</v>
      </c>
    </row>
    <row r="11" spans="1:7" ht="30">
      <c r="A11" s="2" t="s">
        <v>8</v>
      </c>
      <c r="B11" s="2" t="s">
        <v>800</v>
      </c>
    </row>
    <row r="12" spans="1:7" ht="30">
      <c r="A12" s="2" t="s">
        <v>19</v>
      </c>
      <c r="B12" s="2" t="s">
        <v>801</v>
      </c>
    </row>
    <row r="13" spans="1:7" ht="30">
      <c r="A13" s="2" t="s">
        <v>802</v>
      </c>
      <c r="B13" s="2" t="s">
        <v>803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Publisher Database</vt:lpstr>
      <vt:lpstr>Priority Targets</vt:lpstr>
      <vt:lpstr>Category Summary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Meagan Morris</cp:lastModifiedBy>
  <dcterms:modified xsi:type="dcterms:W3CDTF">2026-09-03T14:36:54Z</dcterms:modified>
</cp:coreProperties>
</file>